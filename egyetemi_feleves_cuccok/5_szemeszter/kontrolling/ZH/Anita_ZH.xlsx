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zliz\iCloudDrive\V. szemeszter\Kontrolling\ZH\"/>
    </mc:Choice>
  </mc:AlternateContent>
  <xr:revisionPtr revIDLastSave="0" documentId="13_ncr:1_{203B4B1B-4F58-4632-892D-360D6D86D450}" xr6:coauthVersionLast="47" xr6:coauthVersionMax="47" xr10:uidLastSave="{00000000-0000-0000-0000-000000000000}"/>
  <bookViews>
    <workbookView xWindow="-100" yWindow="-100" windowWidth="21467" windowHeight="11443" activeTab="1" xr2:uid="{DE9FDCC8-CB37-4CE4-B1AE-F8F4BD552054}"/>
  </bookViews>
  <sheets>
    <sheet name="1. Feladat" sheetId="1" r:id="rId1"/>
    <sheet name="2. Fela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M27" i="1" s="1"/>
  <c r="M23" i="1"/>
  <c r="M15" i="1"/>
  <c r="M19" i="1" s="1"/>
  <c r="M14" i="1"/>
  <c r="M5" i="1"/>
  <c r="M6" i="1"/>
  <c r="F18" i="2"/>
  <c r="F17" i="2"/>
  <c r="F13" i="2"/>
  <c r="F14" i="2"/>
  <c r="F10" i="2"/>
  <c r="F9" i="2"/>
  <c r="C7" i="2"/>
  <c r="C8" i="2" s="1"/>
  <c r="F4" i="2" s="1"/>
  <c r="F5" i="2" s="1"/>
  <c r="M28" i="1"/>
  <c r="M9" i="1"/>
  <c r="M10" i="1"/>
  <c r="M21" i="1"/>
  <c r="M13" i="1"/>
  <c r="M4" i="1"/>
  <c r="F20" i="1"/>
  <c r="F19" i="1"/>
  <c r="F18" i="1"/>
  <c r="H22" i="1" s="1"/>
  <c r="H24" i="1" s="1"/>
  <c r="F10" i="1"/>
  <c r="F11" i="1"/>
  <c r="F9" i="1"/>
  <c r="H3" i="1"/>
  <c r="H4" i="1" s="1"/>
  <c r="H6" i="1" s="1"/>
  <c r="M3" i="1" s="1"/>
  <c r="M18" i="1" l="1"/>
  <c r="H13" i="1"/>
  <c r="H14" i="1" s="1"/>
  <c r="H16" i="1" s="1"/>
  <c r="H15" i="1"/>
  <c r="H23" i="1"/>
  <c r="H25" i="1" s="1"/>
  <c r="M22" i="1"/>
  <c r="M12" i="1"/>
  <c r="H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Czibulka Liza</author>
  </authors>
  <commentList>
    <comment ref="E3" authorId="0" shapeId="0" xr:uid="{8BA48567-3543-40FE-B4CE-9ADC1070BA02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S - VC</t>
        </r>
      </text>
    </comment>
    <comment ref="E4" authorId="0" shapeId="0" xr:uid="{06D345B5-A254-4CA7-AAD1-D1B99FCBB7DE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FED - FC</t>
        </r>
      </text>
    </comment>
    <comment ref="E5" authorId="0" shapeId="0" xr:uid="{9D0303E1-FB23-400A-BC28-0517ED2A237F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FED / S
</t>
        </r>
      </text>
    </comment>
    <comment ref="E6" authorId="0" shapeId="0" xr:uid="{69DF0FCF-E81C-4741-AFAD-29F8AE09CF30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PROFIT / S</t>
        </r>
      </text>
    </comment>
    <comment ref="E18" authorId="0" shapeId="0" xr:uid="{C8D34F83-DC1A-406B-ACBC-32C93A32461E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800 000 / 0,8 * 0,9 * 1,05</t>
        </r>
      </text>
    </comment>
    <comment ref="E19" authorId="0" shapeId="0" xr:uid="{D9ACA19E-678B-419C-BBFE-64EBC31596AE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480 000 / 0,8 * 0,9 * 1,05</t>
        </r>
      </text>
    </comment>
    <comment ref="E20" authorId="0" shapeId="0" xr:uid="{4E41435F-FC21-44BF-9948-B97A856C4301}">
      <text>
        <r>
          <rPr>
            <b/>
            <sz val="9"/>
            <color indexed="81"/>
            <rFont val="Tahoma"/>
            <family val="2"/>
            <charset val="238"/>
          </rPr>
          <t>Czibulka Liza:</t>
        </r>
        <r>
          <rPr>
            <sz val="9"/>
            <color indexed="81"/>
            <rFont val="Tahoma"/>
            <family val="2"/>
            <charset val="238"/>
          </rPr>
          <t xml:space="preserve">
200 000 + 15 000
</t>
        </r>
      </text>
    </comment>
  </commentList>
</comments>
</file>

<file path=xl/sharedStrings.xml><?xml version="1.0" encoding="utf-8"?>
<sst xmlns="http://schemas.openxmlformats.org/spreadsheetml/2006/main" count="75" uniqueCount="32">
  <si>
    <t>S =</t>
  </si>
  <si>
    <t>VC =</t>
  </si>
  <si>
    <t>FC =</t>
  </si>
  <si>
    <t>fedezeti összeg (FED) =</t>
  </si>
  <si>
    <t>fedezeti hányad =</t>
  </si>
  <si>
    <t>1.</t>
  </si>
  <si>
    <t>PROFIT =</t>
  </si>
  <si>
    <t>eredmény (PROFIT) =</t>
  </si>
  <si>
    <t>2. / a)</t>
  </si>
  <si>
    <t>eredményhányad =</t>
  </si>
  <si>
    <t>2. / b)</t>
  </si>
  <si>
    <t>Adatok 2022 (80%)</t>
  </si>
  <si>
    <t>3. / a)</t>
  </si>
  <si>
    <t>3. / b)</t>
  </si>
  <si>
    <t>tényezőváltozás =</t>
  </si>
  <si>
    <t>S változása =</t>
  </si>
  <si>
    <t>S változása %-ban =</t>
  </si>
  <si>
    <t>3. / c)</t>
  </si>
  <si>
    <t>Adatok 2018</t>
  </si>
  <si>
    <t xml:space="preserve">CÉL PROFIT = </t>
  </si>
  <si>
    <t>11 000 = S - 50 000 - 40 000</t>
  </si>
  <si>
    <t>a) áremelés</t>
  </si>
  <si>
    <t>b) volumen növelés</t>
  </si>
  <si>
    <t>(100 000 - 50 000) * x - 40 000 = 11 000</t>
  </si>
  <si>
    <t>x =</t>
  </si>
  <si>
    <t>c) VC csökkentése</t>
  </si>
  <si>
    <t>11 000 = 100 000 - VC - 40 000</t>
  </si>
  <si>
    <t>d) FC csökkentése</t>
  </si>
  <si>
    <t>11 000 = 100 000 - 50 000 - FC</t>
  </si>
  <si>
    <t>0,15 = ((800 000 - 480 000) * x - 216 000) / (800 000 * x)</t>
  </si>
  <si>
    <t>120 000 = (800 000 - 480 000) * x - 216 000</t>
  </si>
  <si>
    <t>132 000 = (800 000 - 480 000) * x - 220 000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</si>
</sst>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Times New Roman"/>
      <family val="2"/>
      <charset val="238"/>
    </font>
    <font>
      <sz val="12"/>
      <color theme="1"/>
      <name val="Times New Roman"/>
      <family val="2"/>
      <charset val="238"/>
    </font>
    <font>
      <sz val="12"/>
      <color rgb="FF00B0F0"/>
      <name val="Times New Roman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2"/>
      <color rgb="FF00B0F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164" fontId="0" fillId="0" borderId="3" xfId="1" applyNumberFormat="1" applyFont="1" applyBorder="1" applyAlignment="1">
      <alignment horizontal="right"/>
    </xf>
    <xf numFmtId="164" fontId="0" fillId="0" borderId="5" xfId="1" applyNumberFormat="1" applyFont="1" applyBorder="1" applyAlignment="1">
      <alignment horizontal="right"/>
    </xf>
    <xf numFmtId="164" fontId="0" fillId="0" borderId="7" xfId="1" applyNumberFormat="1" applyFont="1" applyBorder="1" applyAlignment="1">
      <alignment horizontal="right"/>
    </xf>
    <xf numFmtId="164" fontId="0" fillId="0" borderId="10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 applyBorder="1" applyAlignment="1">
      <alignment horizontal="right"/>
    </xf>
    <xf numFmtId="164" fontId="2" fillId="0" borderId="6" xfId="1" applyNumberFormat="1" applyFont="1" applyBorder="1"/>
    <xf numFmtId="10" fontId="2" fillId="0" borderId="8" xfId="2" applyNumberFormat="1" applyFont="1" applyBorder="1"/>
    <xf numFmtId="164" fontId="5" fillId="0" borderId="6" xfId="1" applyNumberFormat="1" applyFont="1" applyBorder="1"/>
    <xf numFmtId="10" fontId="5" fillId="0" borderId="8" xfId="2" applyNumberFormat="1" applyFont="1" applyBorder="1"/>
    <xf numFmtId="10" fontId="5" fillId="0" borderId="0" xfId="2" applyNumberFormat="1" applyFont="1" applyBorder="1"/>
    <xf numFmtId="164" fontId="5" fillId="0" borderId="4" xfId="1" applyNumberFormat="1" applyFont="1" applyBorder="1"/>
    <xf numFmtId="10" fontId="5" fillId="0" borderId="6" xfId="2" applyNumberFormat="1" applyFont="1" applyBorder="1"/>
    <xf numFmtId="164" fontId="2" fillId="0" borderId="0" xfId="1" applyNumberFormat="1" applyFont="1"/>
    <xf numFmtId="10" fontId="0" fillId="0" borderId="4" xfId="2" applyNumberFormat="1" applyFont="1" applyBorder="1"/>
    <xf numFmtId="10" fontId="2" fillId="0" borderId="0" xfId="2" applyNumberFormat="1" applyFont="1"/>
    <xf numFmtId="164" fontId="2" fillId="0" borderId="0" xfId="1" applyNumberFormat="1" applyFont="1" applyBorder="1"/>
    <xf numFmtId="43" fontId="2" fillId="0" borderId="0" xfId="1" applyFont="1" applyBorder="1"/>
    <xf numFmtId="10" fontId="5" fillId="0" borderId="11" xfId="2" applyNumberFormat="1" applyFont="1" applyBorder="1"/>
    <xf numFmtId="43" fontId="0" fillId="0" borderId="6" xfId="1" applyFont="1" applyBorder="1"/>
    <xf numFmtId="164" fontId="0" fillId="0" borderId="5" xfId="1" applyNumberFormat="1" applyFont="1" applyBorder="1" applyAlignment="1"/>
    <xf numFmtId="164" fontId="0" fillId="0" borderId="0" xfId="1" applyNumberFormat="1" applyFont="1" applyAlignment="1"/>
    <xf numFmtId="43" fontId="0" fillId="0" borderId="6" xfId="1" applyFont="1" applyBorder="1" applyAlignment="1"/>
    <xf numFmtId="164" fontId="0" fillId="0" borderId="5" xfId="1" applyNumberFormat="1" applyFont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0" fillId="0" borderId="5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9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0" borderId="3" xfId="1" applyNumberFormat="1" applyFont="1" applyBorder="1" applyAlignment="1">
      <alignment horizontal="left"/>
    </xf>
    <xf numFmtId="164" fontId="0" fillId="0" borderId="10" xfId="1" applyNumberFormat="1" applyFont="1" applyBorder="1" applyAlignment="1">
      <alignment horizontal="left"/>
    </xf>
    <xf numFmtId="164" fontId="0" fillId="0" borderId="7" xfId="1" applyNumberFormat="1" applyFont="1" applyBorder="1" applyAlignment="1">
      <alignment horizontal="left"/>
    </xf>
    <xf numFmtId="164" fontId="0" fillId="0" borderId="11" xfId="1" applyNumberFormat="1" applyFont="1" applyBorder="1" applyAlignment="1">
      <alignment horizontal="left"/>
    </xf>
  </cellXfs>
  <cellStyles count="3">
    <cellStyle name="Ezres" xfId="1" builtinId="3"/>
    <cellStyle name="Normál" xfId="0" builtinId="0"/>
    <cellStyle name="Százalék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62F7-4CBB-4C7F-BD61-40691A880C60}">
  <dimension ref="B1:S28"/>
  <sheetViews>
    <sheetView zoomScaleNormal="100" workbookViewId="0"/>
  </sheetViews>
  <sheetFormatPr defaultColWidth="9" defaultRowHeight="15.55" x14ac:dyDescent="0.3"/>
  <cols>
    <col min="1" max="1" width="3" style="1" customWidth="1"/>
    <col min="2" max="2" width="9" style="1"/>
    <col min="3" max="3" width="13.453125" style="1" bestFit="1" customWidth="1"/>
    <col min="4" max="4" width="9" style="1"/>
    <col min="5" max="5" width="6.7265625" style="1" bestFit="1" customWidth="1"/>
    <col min="6" max="6" width="8.90625" style="1" bestFit="1" customWidth="1"/>
    <col min="7" max="9" width="9" style="1"/>
    <col min="10" max="10" width="10.7265625" style="1" bestFit="1" customWidth="1"/>
    <col min="11" max="11" width="7.6328125" style="1" customWidth="1"/>
    <col min="12" max="12" width="7.7265625" style="1" customWidth="1"/>
    <col min="13" max="13" width="53.7265625" style="1" customWidth="1"/>
    <col min="14" max="16384" width="9" style="1"/>
  </cols>
  <sheetData>
    <row r="1" spans="2:19" ht="16.100000000000001" thickBot="1" x14ac:dyDescent="0.35"/>
    <row r="2" spans="2:19" ht="16.100000000000001" thickBot="1" x14ac:dyDescent="0.35">
      <c r="B2" s="36" t="s">
        <v>11</v>
      </c>
      <c r="C2" s="37"/>
      <c r="E2" s="38" t="s">
        <v>5</v>
      </c>
      <c r="F2" s="39"/>
      <c r="G2" s="39"/>
      <c r="H2" s="40"/>
      <c r="J2" s="38" t="s">
        <v>12</v>
      </c>
      <c r="K2" s="39"/>
      <c r="L2" s="39"/>
      <c r="M2" s="40"/>
    </row>
    <row r="3" spans="2:19" x14ac:dyDescent="0.3">
      <c r="B3" s="8" t="s">
        <v>0</v>
      </c>
      <c r="C3" s="3">
        <v>800000</v>
      </c>
      <c r="E3" s="41" t="s">
        <v>3</v>
      </c>
      <c r="F3" s="42"/>
      <c r="G3" s="42"/>
      <c r="H3" s="19">
        <f>C3-C4</f>
        <v>320000</v>
      </c>
      <c r="J3" s="41" t="s">
        <v>9</v>
      </c>
      <c r="K3" s="42"/>
      <c r="L3" s="42"/>
      <c r="M3" s="22">
        <f>H6</f>
        <v>0.15</v>
      </c>
    </row>
    <row r="4" spans="2:19" x14ac:dyDescent="0.3">
      <c r="B4" s="9" t="s">
        <v>1</v>
      </c>
      <c r="C4" s="5">
        <v>480000</v>
      </c>
      <c r="E4" s="31" t="s">
        <v>7</v>
      </c>
      <c r="F4" s="32"/>
      <c r="G4" s="32"/>
      <c r="H4" s="16">
        <f>H3-C5</f>
        <v>120000</v>
      </c>
      <c r="J4" s="31" t="s">
        <v>2</v>
      </c>
      <c r="K4" s="32"/>
      <c r="L4" s="32"/>
      <c r="M4" s="5">
        <f>C5+16000</f>
        <v>216000</v>
      </c>
    </row>
    <row r="5" spans="2:19" ht="16.100000000000001" thickBot="1" x14ac:dyDescent="0.35">
      <c r="B5" s="10" t="s">
        <v>2</v>
      </c>
      <c r="C5" s="7">
        <v>200000</v>
      </c>
      <c r="E5" s="31" t="s">
        <v>4</v>
      </c>
      <c r="F5" s="32"/>
      <c r="G5" s="32"/>
      <c r="H5" s="20">
        <f>H3/C3</f>
        <v>0.4</v>
      </c>
      <c r="J5" s="31" t="s">
        <v>1</v>
      </c>
      <c r="K5" s="32"/>
      <c r="L5" s="32"/>
      <c r="M5" s="14">
        <f>C4*M8</f>
        <v>518400.00000000006</v>
      </c>
    </row>
    <row r="6" spans="2:19" ht="16.100000000000001" thickBot="1" x14ac:dyDescent="0.35">
      <c r="B6" s="13"/>
      <c r="C6" s="12"/>
      <c r="E6" s="43" t="s">
        <v>9</v>
      </c>
      <c r="F6" s="44"/>
      <c r="G6" s="44"/>
      <c r="H6" s="17">
        <f>H4/C3</f>
        <v>0.15</v>
      </c>
      <c r="J6" s="31" t="s">
        <v>0</v>
      </c>
      <c r="K6" s="32"/>
      <c r="L6" s="32"/>
      <c r="M6" s="14">
        <f>C3*M8</f>
        <v>864000</v>
      </c>
    </row>
    <row r="7" spans="2:19" ht="16.100000000000001" thickBot="1" x14ac:dyDescent="0.35">
      <c r="J7" s="33" t="s">
        <v>29</v>
      </c>
      <c r="K7" s="34"/>
      <c r="L7" s="34"/>
      <c r="M7" s="35"/>
    </row>
    <row r="8" spans="2:19" ht="16.100000000000001" thickBot="1" x14ac:dyDescent="0.35">
      <c r="E8" s="38" t="s">
        <v>8</v>
      </c>
      <c r="F8" s="39"/>
      <c r="G8" s="39"/>
      <c r="H8" s="40"/>
      <c r="J8" s="31" t="s">
        <v>24</v>
      </c>
      <c r="K8" s="32"/>
      <c r="L8" s="32"/>
      <c r="M8" s="27">
        <v>1.08</v>
      </c>
      <c r="N8" s="28"/>
      <c r="O8" s="29"/>
      <c r="P8" s="29"/>
      <c r="Q8" s="29"/>
      <c r="R8" s="29"/>
      <c r="S8" s="29"/>
    </row>
    <row r="9" spans="2:19" x14ac:dyDescent="0.3">
      <c r="E9" s="8" t="s">
        <v>0</v>
      </c>
      <c r="F9" s="11">
        <f>C3+40000</f>
        <v>840000</v>
      </c>
      <c r="G9" s="11"/>
      <c r="H9" s="3"/>
      <c r="J9" s="31" t="s">
        <v>15</v>
      </c>
      <c r="K9" s="32"/>
      <c r="L9" s="32"/>
      <c r="M9" s="16">
        <f>M6-C3</f>
        <v>64000</v>
      </c>
    </row>
    <row r="10" spans="2:19" ht="16.100000000000001" thickBot="1" x14ac:dyDescent="0.35">
      <c r="E10" s="9" t="s">
        <v>1</v>
      </c>
      <c r="F10" s="12">
        <f>C4</f>
        <v>480000</v>
      </c>
      <c r="G10" s="12"/>
      <c r="H10" s="5"/>
      <c r="J10" s="43" t="s">
        <v>16</v>
      </c>
      <c r="K10" s="44"/>
      <c r="L10" s="44"/>
      <c r="M10" s="15">
        <f>(M6-C3)/C3</f>
        <v>0.08</v>
      </c>
    </row>
    <row r="11" spans="2:19" ht="16.100000000000001" thickBot="1" x14ac:dyDescent="0.35">
      <c r="E11" s="9" t="s">
        <v>2</v>
      </c>
      <c r="F11" s="12">
        <f>C5+5000</f>
        <v>205000</v>
      </c>
      <c r="G11" s="12"/>
      <c r="H11" s="5"/>
      <c r="J11" s="38" t="s">
        <v>13</v>
      </c>
      <c r="K11" s="39"/>
      <c r="L11" s="39"/>
      <c r="M11" s="40"/>
    </row>
    <row r="12" spans="2:19" x14ac:dyDescent="0.3">
      <c r="E12" s="4"/>
      <c r="F12" s="12"/>
      <c r="G12" s="12"/>
      <c r="H12" s="5"/>
      <c r="J12" s="41" t="s">
        <v>6</v>
      </c>
      <c r="K12" s="42"/>
      <c r="L12" s="42"/>
      <c r="M12" s="3">
        <f>H4</f>
        <v>120000</v>
      </c>
    </row>
    <row r="13" spans="2:19" x14ac:dyDescent="0.3">
      <c r="E13" s="31" t="s">
        <v>3</v>
      </c>
      <c r="F13" s="32"/>
      <c r="G13" s="32"/>
      <c r="H13" s="16">
        <f>F9-F10</f>
        <v>360000</v>
      </c>
      <c r="J13" s="31" t="s">
        <v>2</v>
      </c>
      <c r="K13" s="32"/>
      <c r="L13" s="32"/>
      <c r="M13" s="5">
        <f>C5+16000</f>
        <v>216000</v>
      </c>
    </row>
    <row r="14" spans="2:19" x14ac:dyDescent="0.3">
      <c r="E14" s="31" t="s">
        <v>7</v>
      </c>
      <c r="F14" s="32"/>
      <c r="G14" s="32"/>
      <c r="H14" s="16">
        <f>H13-F11</f>
        <v>155000</v>
      </c>
      <c r="J14" s="31" t="s">
        <v>1</v>
      </c>
      <c r="K14" s="32"/>
      <c r="L14" s="32"/>
      <c r="M14" s="14">
        <f>C4*M17</f>
        <v>504000</v>
      </c>
    </row>
    <row r="15" spans="2:19" x14ac:dyDescent="0.3">
      <c r="E15" s="31" t="s">
        <v>4</v>
      </c>
      <c r="F15" s="32"/>
      <c r="G15" s="32"/>
      <c r="H15" s="20">
        <f>H13/F9</f>
        <v>0.42857142857142855</v>
      </c>
      <c r="J15" s="31" t="s">
        <v>0</v>
      </c>
      <c r="K15" s="32"/>
      <c r="L15" s="32"/>
      <c r="M15" s="14">
        <f>C3*M17</f>
        <v>840000</v>
      </c>
    </row>
    <row r="16" spans="2:19" ht="16.100000000000001" thickBot="1" x14ac:dyDescent="0.35">
      <c r="E16" s="43" t="s">
        <v>9</v>
      </c>
      <c r="F16" s="44"/>
      <c r="G16" s="44"/>
      <c r="H16" s="17">
        <f>H14/F9</f>
        <v>0.18452380952380953</v>
      </c>
      <c r="J16" s="33" t="s">
        <v>30</v>
      </c>
      <c r="K16" s="34"/>
      <c r="L16" s="34"/>
      <c r="M16" s="35"/>
    </row>
    <row r="17" spans="5:13" ht="16.100000000000001" thickBot="1" x14ac:dyDescent="0.35">
      <c r="E17" s="38" t="s">
        <v>10</v>
      </c>
      <c r="F17" s="39"/>
      <c r="G17" s="39"/>
      <c r="H17" s="40"/>
      <c r="J17" s="31" t="s">
        <v>24</v>
      </c>
      <c r="K17" s="32"/>
      <c r="L17" s="32"/>
      <c r="M17" s="30">
        <v>1.05</v>
      </c>
    </row>
    <row r="18" spans="5:13" x14ac:dyDescent="0.3">
      <c r="E18" s="2" t="s">
        <v>0</v>
      </c>
      <c r="F18" s="11">
        <f>C3/0.8*0.9*1.05</f>
        <v>945000</v>
      </c>
      <c r="G18" s="11"/>
      <c r="H18" s="3"/>
      <c r="J18" s="31" t="s">
        <v>15</v>
      </c>
      <c r="K18" s="32"/>
      <c r="L18" s="32"/>
      <c r="M18" s="16">
        <f>M15-C3</f>
        <v>40000</v>
      </c>
    </row>
    <row r="19" spans="5:13" ht="16.100000000000001" thickBot="1" x14ac:dyDescent="0.35">
      <c r="E19" s="4" t="s">
        <v>1</v>
      </c>
      <c r="F19" s="12">
        <f>C4/0.8*0.9*1.05</f>
        <v>567000</v>
      </c>
      <c r="G19" s="12"/>
      <c r="H19" s="5"/>
      <c r="J19" s="43" t="s">
        <v>16</v>
      </c>
      <c r="K19" s="44"/>
      <c r="L19" s="44"/>
      <c r="M19" s="15">
        <f>(M15-C3)/C3</f>
        <v>0.05</v>
      </c>
    </row>
    <row r="20" spans="5:13" ht="16.100000000000001" thickBot="1" x14ac:dyDescent="0.35">
      <c r="E20" s="4" t="s">
        <v>2</v>
      </c>
      <c r="F20" s="12">
        <f>C5+15000</f>
        <v>215000</v>
      </c>
      <c r="G20" s="12"/>
      <c r="H20" s="5"/>
      <c r="J20" s="38" t="s">
        <v>17</v>
      </c>
      <c r="K20" s="39"/>
      <c r="L20" s="39"/>
      <c r="M20" s="40"/>
    </row>
    <row r="21" spans="5:13" x14ac:dyDescent="0.3">
      <c r="E21" s="4"/>
      <c r="F21" s="12"/>
      <c r="G21" s="12"/>
      <c r="H21" s="5"/>
      <c r="J21" s="41" t="s">
        <v>2</v>
      </c>
      <c r="K21" s="42"/>
      <c r="L21" s="42"/>
      <c r="M21" s="3">
        <f>C5+20000</f>
        <v>220000</v>
      </c>
    </row>
    <row r="22" spans="5:13" x14ac:dyDescent="0.3">
      <c r="E22" s="31" t="s">
        <v>3</v>
      </c>
      <c r="F22" s="32"/>
      <c r="G22" s="32"/>
      <c r="H22" s="16">
        <f>F18-F19</f>
        <v>378000</v>
      </c>
      <c r="J22" s="31" t="s">
        <v>6</v>
      </c>
      <c r="K22" s="32"/>
      <c r="L22" s="32"/>
      <c r="M22" s="5">
        <f>H4+12000</f>
        <v>132000</v>
      </c>
    </row>
    <row r="23" spans="5:13" x14ac:dyDescent="0.3">
      <c r="E23" s="31" t="s">
        <v>7</v>
      </c>
      <c r="F23" s="32"/>
      <c r="G23" s="32"/>
      <c r="H23" s="16">
        <f>H22-F20</f>
        <v>163000</v>
      </c>
      <c r="J23" s="31" t="s">
        <v>1</v>
      </c>
      <c r="K23" s="32"/>
      <c r="L23" s="32"/>
      <c r="M23" s="14">
        <f>C4*M26</f>
        <v>528000</v>
      </c>
    </row>
    <row r="24" spans="5:13" x14ac:dyDescent="0.3">
      <c r="E24" s="31" t="s">
        <v>4</v>
      </c>
      <c r="F24" s="32"/>
      <c r="G24" s="32"/>
      <c r="H24" s="20">
        <f>H22/F18</f>
        <v>0.4</v>
      </c>
      <c r="J24" s="31" t="s">
        <v>0</v>
      </c>
      <c r="K24" s="32"/>
      <c r="L24" s="32"/>
      <c r="M24" s="14">
        <f>C3*M26</f>
        <v>880000.00000000012</v>
      </c>
    </row>
    <row r="25" spans="5:13" ht="16.100000000000001" thickBot="1" x14ac:dyDescent="0.35">
      <c r="E25" s="43" t="s">
        <v>9</v>
      </c>
      <c r="F25" s="44"/>
      <c r="G25" s="44"/>
      <c r="H25" s="17">
        <f>H23/F18</f>
        <v>0.17248677248677249</v>
      </c>
      <c r="J25" s="33" t="s">
        <v>31</v>
      </c>
      <c r="K25" s="34"/>
      <c r="L25" s="34"/>
      <c r="M25" s="35"/>
    </row>
    <row r="26" spans="5:13" x14ac:dyDescent="0.3">
      <c r="J26" s="31" t="s">
        <v>24</v>
      </c>
      <c r="K26" s="32"/>
      <c r="L26" s="32"/>
      <c r="M26" s="30">
        <v>1.1000000000000001</v>
      </c>
    </row>
    <row r="27" spans="5:13" x14ac:dyDescent="0.3">
      <c r="J27" s="31" t="s">
        <v>15</v>
      </c>
      <c r="K27" s="32"/>
      <c r="L27" s="32"/>
      <c r="M27" s="16">
        <f>M24-C3</f>
        <v>80000.000000000116</v>
      </c>
    </row>
    <row r="28" spans="5:13" ht="16.100000000000001" thickBot="1" x14ac:dyDescent="0.35">
      <c r="J28" s="43" t="s">
        <v>16</v>
      </c>
      <c r="K28" s="44"/>
      <c r="L28" s="44"/>
      <c r="M28" s="15">
        <f>(M24-C3)/C3</f>
        <v>0.10000000000000014</v>
      </c>
    </row>
  </sheetData>
  <mergeCells count="43">
    <mergeCell ref="J27:L27"/>
    <mergeCell ref="J28:L28"/>
    <mergeCell ref="J10:L10"/>
    <mergeCell ref="J12:L12"/>
    <mergeCell ref="J19:L19"/>
    <mergeCell ref="J24:L24"/>
    <mergeCell ref="J23:L23"/>
    <mergeCell ref="J22:L22"/>
    <mergeCell ref="J21:L21"/>
    <mergeCell ref="J20:M20"/>
    <mergeCell ref="J14:L14"/>
    <mergeCell ref="J13:L13"/>
    <mergeCell ref="J18:L18"/>
    <mergeCell ref="J11:M11"/>
    <mergeCell ref="J26:L26"/>
    <mergeCell ref="J16:M16"/>
    <mergeCell ref="E23:G23"/>
    <mergeCell ref="E24:G24"/>
    <mergeCell ref="E25:G25"/>
    <mergeCell ref="J2:M2"/>
    <mergeCell ref="J9:L9"/>
    <mergeCell ref="J6:L6"/>
    <mergeCell ref="J5:L5"/>
    <mergeCell ref="J7:M7"/>
    <mergeCell ref="J3:L3"/>
    <mergeCell ref="J4:L4"/>
    <mergeCell ref="J8:L8"/>
    <mergeCell ref="J17:L17"/>
    <mergeCell ref="J25:M25"/>
    <mergeCell ref="J15:L15"/>
    <mergeCell ref="B2:C2"/>
    <mergeCell ref="E2:H2"/>
    <mergeCell ref="E5:G5"/>
    <mergeCell ref="E4:G4"/>
    <mergeCell ref="E3:G3"/>
    <mergeCell ref="E8:H8"/>
    <mergeCell ref="E6:G6"/>
    <mergeCell ref="E16:G16"/>
    <mergeCell ref="E15:G15"/>
    <mergeCell ref="E14:G14"/>
    <mergeCell ref="E13:G13"/>
    <mergeCell ref="E17:H17"/>
    <mergeCell ref="E22:G2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632A-E49B-4E45-9031-3FB372974263}">
  <dimension ref="B1:G18"/>
  <sheetViews>
    <sheetView tabSelected="1" workbookViewId="0"/>
  </sheetViews>
  <sheetFormatPr defaultColWidth="9" defaultRowHeight="15.55" x14ac:dyDescent="0.3"/>
  <cols>
    <col min="1" max="1" width="3.26953125" style="1" customWidth="1"/>
    <col min="2" max="2" width="15.453125" style="1" bestFit="1" customWidth="1"/>
    <col min="3" max="3" width="13.453125" style="1" bestFit="1" customWidth="1"/>
    <col min="4" max="4" width="9" style="1"/>
    <col min="5" max="5" width="15.90625" style="1" bestFit="1" customWidth="1"/>
    <col min="6" max="6" width="9" style="1"/>
    <col min="7" max="7" width="13.36328125" style="1" customWidth="1"/>
    <col min="8" max="16384" width="9" style="1"/>
  </cols>
  <sheetData>
    <row r="1" spans="2:7" ht="16.100000000000001" thickBot="1" x14ac:dyDescent="0.35"/>
    <row r="2" spans="2:7" ht="16.100000000000001" thickBot="1" x14ac:dyDescent="0.35">
      <c r="B2" s="36" t="s">
        <v>18</v>
      </c>
      <c r="C2" s="37"/>
      <c r="E2" s="38" t="s">
        <v>21</v>
      </c>
      <c r="F2" s="39"/>
      <c r="G2" s="40"/>
    </row>
    <row r="3" spans="2:7" x14ac:dyDescent="0.3">
      <c r="B3" s="9" t="s">
        <v>0</v>
      </c>
      <c r="C3" s="5">
        <v>100000</v>
      </c>
      <c r="E3" s="33" t="s">
        <v>20</v>
      </c>
      <c r="F3" s="34"/>
      <c r="G3" s="35"/>
    </row>
    <row r="4" spans="2:7" x14ac:dyDescent="0.3">
      <c r="B4" s="9" t="s">
        <v>1</v>
      </c>
      <c r="C4" s="5">
        <v>50000</v>
      </c>
      <c r="E4" s="9" t="s">
        <v>0</v>
      </c>
      <c r="F4" s="24">
        <f>C8+C5+C4</f>
        <v>101000</v>
      </c>
      <c r="G4" s="5"/>
    </row>
    <row r="5" spans="2:7" ht="16.100000000000001" thickBot="1" x14ac:dyDescent="0.35">
      <c r="B5" s="10" t="s">
        <v>2</v>
      </c>
      <c r="C5" s="7">
        <v>40000</v>
      </c>
      <c r="E5" s="9" t="s">
        <v>14</v>
      </c>
      <c r="F5" s="18">
        <f>(F4-C3)/C3</f>
        <v>0.01</v>
      </c>
      <c r="G5" s="5"/>
    </row>
    <row r="6" spans="2:7" ht="16.100000000000001" thickBot="1" x14ac:dyDescent="0.35">
      <c r="E6" s="38" t="s">
        <v>22</v>
      </c>
      <c r="F6" s="39"/>
      <c r="G6" s="40"/>
    </row>
    <row r="7" spans="2:7" x14ac:dyDescent="0.3">
      <c r="B7" s="1" t="s">
        <v>6</v>
      </c>
      <c r="C7" s="21">
        <f>C3-C4-C5</f>
        <v>10000</v>
      </c>
      <c r="E7" s="33" t="s">
        <v>23</v>
      </c>
      <c r="F7" s="34"/>
      <c r="G7" s="35"/>
    </row>
    <row r="8" spans="2:7" x14ac:dyDescent="0.3">
      <c r="B8" s="1" t="s">
        <v>19</v>
      </c>
      <c r="C8" s="21">
        <f>C7*1.1</f>
        <v>11000</v>
      </c>
      <c r="E8" s="4" t="s">
        <v>24</v>
      </c>
      <c r="F8" s="25">
        <v>1.02</v>
      </c>
      <c r="G8" s="5"/>
    </row>
    <row r="9" spans="2:7" x14ac:dyDescent="0.3">
      <c r="C9" s="23"/>
      <c r="E9" s="4" t="s">
        <v>0</v>
      </c>
      <c r="F9" s="24">
        <f>C3*F8</f>
        <v>102000</v>
      </c>
      <c r="G9" s="5"/>
    </row>
    <row r="10" spans="2:7" ht="16.100000000000001" thickBot="1" x14ac:dyDescent="0.35">
      <c r="E10" s="4" t="s">
        <v>14</v>
      </c>
      <c r="F10" s="18">
        <f>(F9-C3)/C3</f>
        <v>0.02</v>
      </c>
      <c r="G10" s="5"/>
    </row>
    <row r="11" spans="2:7" ht="16.100000000000001" thickBot="1" x14ac:dyDescent="0.35">
      <c r="E11" s="38" t="s">
        <v>25</v>
      </c>
      <c r="F11" s="39"/>
      <c r="G11" s="40"/>
    </row>
    <row r="12" spans="2:7" x14ac:dyDescent="0.3">
      <c r="E12" s="33" t="s">
        <v>26</v>
      </c>
      <c r="F12" s="34"/>
      <c r="G12" s="35"/>
    </row>
    <row r="13" spans="2:7" x14ac:dyDescent="0.3">
      <c r="E13" s="4" t="s">
        <v>1</v>
      </c>
      <c r="F13" s="24">
        <f>C3-C5-C8</f>
        <v>49000</v>
      </c>
      <c r="G13" s="5"/>
    </row>
    <row r="14" spans="2:7" ht="16.100000000000001" thickBot="1" x14ac:dyDescent="0.35">
      <c r="E14" s="4" t="s">
        <v>14</v>
      </c>
      <c r="F14" s="18">
        <f>(F13-C4)/C4</f>
        <v>-0.02</v>
      </c>
      <c r="G14" s="5"/>
    </row>
    <row r="15" spans="2:7" ht="16.100000000000001" thickBot="1" x14ac:dyDescent="0.35">
      <c r="E15" s="38" t="s">
        <v>27</v>
      </c>
      <c r="F15" s="39"/>
      <c r="G15" s="40"/>
    </row>
    <row r="16" spans="2:7" x14ac:dyDescent="0.3">
      <c r="E16" s="33" t="s">
        <v>28</v>
      </c>
      <c r="F16" s="34"/>
      <c r="G16" s="35"/>
    </row>
    <row r="17" spans="5:7" x14ac:dyDescent="0.3">
      <c r="E17" s="4" t="s">
        <v>2</v>
      </c>
      <c r="F17" s="24">
        <f>C3-C4-C8</f>
        <v>39000</v>
      </c>
      <c r="G17" s="5"/>
    </row>
    <row r="18" spans="5:7" ht="16.100000000000001" thickBot="1" x14ac:dyDescent="0.35">
      <c r="E18" s="6" t="s">
        <v>14</v>
      </c>
      <c r="F18" s="26">
        <f>(F17-C5)/C5</f>
        <v>-2.5000000000000001E-2</v>
      </c>
      <c r="G18" s="7"/>
    </row>
  </sheetData>
  <mergeCells count="9">
    <mergeCell ref="E12:G12"/>
    <mergeCell ref="E15:G15"/>
    <mergeCell ref="E16:G16"/>
    <mergeCell ref="B2:C2"/>
    <mergeCell ref="E2:G2"/>
    <mergeCell ref="E3:G3"/>
    <mergeCell ref="E7:G7"/>
    <mergeCell ref="E6:G6"/>
    <mergeCell ref="E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 Feladat</vt:lpstr>
      <vt:lpstr>2. 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Czibulka</dc:creator>
  <cp:lastModifiedBy>Lizadora@sulid.hu</cp:lastModifiedBy>
  <dcterms:created xsi:type="dcterms:W3CDTF">2024-12-08T18:24:19Z</dcterms:created>
  <dcterms:modified xsi:type="dcterms:W3CDTF">2024-12-10T11:57:11Z</dcterms:modified>
</cp:coreProperties>
</file>