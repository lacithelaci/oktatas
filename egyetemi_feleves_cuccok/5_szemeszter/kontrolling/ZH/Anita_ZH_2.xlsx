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CloudDrive\V. szemeszter\Kontrolling\ZH\"/>
    </mc:Choice>
  </mc:AlternateContent>
  <xr:revisionPtr revIDLastSave="0" documentId="13_ncr:1_{2BCF2E95-726E-403D-89F6-2650D4DD7800}" xr6:coauthVersionLast="47" xr6:coauthVersionMax="47" xr10:uidLastSave="{00000000-0000-0000-0000-000000000000}"/>
  <bookViews>
    <workbookView xWindow="14295" yWindow="0" windowWidth="14610" windowHeight="15585" xr2:uid="{40C44C69-7AF7-4E57-8D99-F37B4401CC67}"/>
  </bookViews>
  <sheets>
    <sheet name="1. Feladat" sheetId="1" r:id="rId1"/>
    <sheet name="2. Felad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G4" i="2"/>
  <c r="G5" i="2"/>
  <c r="G3" i="2"/>
  <c r="C18" i="2"/>
  <c r="C6" i="2"/>
  <c r="C5" i="2"/>
  <c r="C15" i="2"/>
  <c r="C17" i="2" s="1"/>
  <c r="G34" i="1"/>
  <c r="G33" i="1"/>
  <c r="G32" i="1"/>
  <c r="G31" i="1"/>
  <c r="G28" i="1"/>
  <c r="G27" i="1"/>
  <c r="G21" i="1"/>
  <c r="G22" i="1" s="1"/>
  <c r="G9" i="1" l="1"/>
  <c r="G7" i="1"/>
  <c r="G6" i="1"/>
  <c r="G4" i="1"/>
  <c r="G5" i="1"/>
  <c r="G3" i="1"/>
  <c r="G14" i="1" l="1"/>
  <c r="G23" i="1" s="1"/>
  <c r="G15" i="1"/>
  <c r="G10" i="1"/>
  <c r="G11" i="1" s="1"/>
  <c r="G12" i="1" s="1"/>
  <c r="G16" i="1" s="1"/>
  <c r="G24" i="1" s="1"/>
  <c r="G25" i="1" l="1"/>
  <c r="G26" i="1" s="1"/>
  <c r="G17" i="1"/>
  <c r="G18" i="1" s="1"/>
</calcChain>
</file>

<file path=xl/sharedStrings.xml><?xml version="1.0" encoding="utf-8"?>
<sst xmlns="http://schemas.openxmlformats.org/spreadsheetml/2006/main" count="85" uniqueCount="56">
  <si>
    <t>Adatok</t>
  </si>
  <si>
    <t>Q =</t>
  </si>
  <si>
    <t>p =</t>
  </si>
  <si>
    <t>Prop. Ktsg =</t>
  </si>
  <si>
    <t>Degr. Ktsg =</t>
  </si>
  <si>
    <t>Progr. Ktsg =</t>
  </si>
  <si>
    <t>FC =</t>
  </si>
  <si>
    <t>S =</t>
  </si>
  <si>
    <t>Átlagos reagálási fok =</t>
  </si>
  <si>
    <t>15 000 * 8</t>
  </si>
  <si>
    <t>20 000 * 0</t>
  </si>
  <si>
    <t>21 000 * 1</t>
  </si>
  <si>
    <t>6 000 * 1,6 + 10 000 * 1,3</t>
  </si>
  <si>
    <t>3 000 * 0,8 + 16 000 * 0,6</t>
  </si>
  <si>
    <t>Összes Ktsg =</t>
  </si>
  <si>
    <t>Redukált Ktsg =</t>
  </si>
  <si>
    <t>Redukált fix Ktsg =</t>
  </si>
  <si>
    <t>21 000 + 19 000 + 16 000 + 20 000</t>
  </si>
  <si>
    <t>0 + 21 000 + 12 000 + 22 600</t>
  </si>
  <si>
    <t>55 600 / 76 000</t>
  </si>
  <si>
    <t>76 000 * (1 - 73,16%)</t>
  </si>
  <si>
    <t>1.</t>
  </si>
  <si>
    <t>EH =</t>
  </si>
  <si>
    <t>PROFIT =</t>
  </si>
  <si>
    <t>VC =</t>
  </si>
  <si>
    <t>FED =</t>
  </si>
  <si>
    <t>120 000 - 55 600</t>
  </si>
  <si>
    <t>64 400 - 20 400</t>
  </si>
  <si>
    <t>44 000 / 120 000</t>
  </si>
  <si>
    <t>2.</t>
  </si>
  <si>
    <t>15 000 * 1,25</t>
  </si>
  <si>
    <t>18 750 * 8</t>
  </si>
  <si>
    <t>55 600 * 1,25</t>
  </si>
  <si>
    <t>150 000 - 69 500 - 20 400</t>
  </si>
  <si>
    <t>60 100 / 150 000</t>
  </si>
  <si>
    <t>15 000 * 1,4</t>
  </si>
  <si>
    <t>21 000 * 8</t>
  </si>
  <si>
    <t>116 000 * 0,6</t>
  </si>
  <si>
    <t>116 000 - 69 600</t>
  </si>
  <si>
    <t>168 000 - 69 600 - 46 400</t>
  </si>
  <si>
    <t>52 000 / 168 000</t>
  </si>
  <si>
    <t>fedezeti hányad =</t>
  </si>
  <si>
    <t>0,4 = (S - 600 000) / S)</t>
  </si>
  <si>
    <t>0,2 = PROFIT / 1 000 000</t>
  </si>
  <si>
    <t>a)</t>
  </si>
  <si>
    <t>b)</t>
  </si>
  <si>
    <t>átlagos reagálási fok =</t>
  </si>
  <si>
    <t>c)</t>
  </si>
  <si>
    <t>Q változás =</t>
  </si>
  <si>
    <t>0,2 * 100 000</t>
  </si>
  <si>
    <t>S változás =</t>
  </si>
  <si>
    <t>v =</t>
  </si>
  <si>
    <t>PROFIT változás =</t>
  </si>
  <si>
    <t>0,4 / 0,2 / 100</t>
  </si>
  <si>
    <t>20 000 * 10 000 / 1000</t>
  </si>
  <si>
    <t>0,2 * 200 000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</si>
</sst>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00B0F0"/>
      <name val="Aptos Narrow"/>
      <family val="2"/>
      <charset val="238"/>
      <scheme val="minor"/>
    </font>
    <font>
      <b/>
      <sz val="11"/>
      <color rgb="FF00B0F0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165" fontId="0" fillId="0" borderId="0" xfId="1" applyNumberFormat="1" applyFont="1"/>
    <xf numFmtId="165" fontId="0" fillId="0" borderId="4" xfId="1" applyNumberFormat="1" applyFont="1" applyBorder="1"/>
    <xf numFmtId="165" fontId="0" fillId="0" borderId="6" xfId="1" applyNumberFormat="1" applyFont="1" applyBorder="1"/>
    <xf numFmtId="165" fontId="0" fillId="0" borderId="3" xfId="1" applyNumberFormat="1" applyFont="1" applyBorder="1" applyAlignment="1">
      <alignment horizontal="right"/>
    </xf>
    <xf numFmtId="165" fontId="0" fillId="0" borderId="5" xfId="1" applyNumberFormat="1" applyFont="1" applyBorder="1" applyAlignment="1">
      <alignment horizontal="right"/>
    </xf>
    <xf numFmtId="165" fontId="0" fillId="0" borderId="0" xfId="1" applyNumberFormat="1" applyFont="1" applyBorder="1"/>
    <xf numFmtId="165" fontId="0" fillId="0" borderId="8" xfId="1" applyNumberFormat="1" applyFont="1" applyBorder="1"/>
    <xf numFmtId="164" fontId="0" fillId="0" borderId="4" xfId="1" applyNumberFormat="1" applyFont="1" applyBorder="1"/>
    <xf numFmtId="165" fontId="0" fillId="0" borderId="12" xfId="1" applyNumberFormat="1" applyFont="1" applyBorder="1" applyAlignment="1">
      <alignment horizontal="right"/>
    </xf>
    <xf numFmtId="165" fontId="0" fillId="0" borderId="14" xfId="1" applyNumberFormat="1" applyFont="1" applyBorder="1"/>
    <xf numFmtId="165" fontId="0" fillId="0" borderId="14" xfId="1" applyNumberFormat="1" applyFont="1" applyBorder="1" applyAlignment="1">
      <alignment horizontal="right"/>
    </xf>
    <xf numFmtId="165" fontId="0" fillId="0" borderId="4" xfId="1" applyNumberFormat="1" applyFont="1" applyBorder="1" applyAlignment="1">
      <alignment horizontal="right"/>
    </xf>
    <xf numFmtId="165" fontId="0" fillId="0" borderId="6" xfId="1" applyNumberFormat="1" applyFont="1" applyBorder="1" applyAlignment="1">
      <alignment horizontal="right"/>
    </xf>
    <xf numFmtId="10" fontId="3" fillId="0" borderId="4" xfId="2" applyNumberFormat="1" applyFont="1" applyBorder="1"/>
    <xf numFmtId="165" fontId="2" fillId="0" borderId="14" xfId="1" applyNumberFormat="1" applyFont="1" applyBorder="1"/>
    <xf numFmtId="1" fontId="2" fillId="0" borderId="4" xfId="1" applyNumberFormat="1" applyFont="1" applyBorder="1"/>
    <xf numFmtId="165" fontId="2" fillId="0" borderId="4" xfId="1" applyNumberFormat="1" applyFont="1" applyBorder="1"/>
    <xf numFmtId="165" fontId="2" fillId="0" borderId="6" xfId="1" applyNumberFormat="1" applyFont="1" applyBorder="1"/>
    <xf numFmtId="10" fontId="0" fillId="0" borderId="6" xfId="2" applyNumberFormat="1" applyFont="1" applyBorder="1"/>
    <xf numFmtId="9" fontId="0" fillId="0" borderId="4" xfId="2" applyFont="1" applyBorder="1"/>
    <xf numFmtId="165" fontId="0" fillId="0" borderId="9" xfId="1" applyNumberFormat="1" applyFont="1" applyBorder="1" applyAlignment="1">
      <alignment horizontal="right"/>
    </xf>
    <xf numFmtId="165" fontId="0" fillId="0" borderId="10" xfId="1" applyNumberFormat="1" applyFont="1" applyBorder="1" applyAlignment="1">
      <alignment horizontal="right"/>
    </xf>
    <xf numFmtId="165" fontId="0" fillId="0" borderId="11" xfId="1" applyNumberFormat="1" applyFont="1" applyBorder="1" applyAlignment="1">
      <alignment horizontal="right"/>
    </xf>
    <xf numFmtId="165" fontId="3" fillId="0" borderId="4" xfId="1" applyNumberFormat="1" applyFont="1" applyBorder="1"/>
    <xf numFmtId="10" fontId="3" fillId="0" borderId="6" xfId="2" applyNumberFormat="1" applyFont="1" applyBorder="1"/>
    <xf numFmtId="165" fontId="3" fillId="0" borderId="8" xfId="1" applyNumberFormat="1" applyFont="1" applyBorder="1"/>
    <xf numFmtId="165" fontId="2" fillId="0" borderId="13" xfId="1" applyNumberFormat="1" applyFont="1" applyBorder="1"/>
    <xf numFmtId="43" fontId="0" fillId="0" borderId="0" xfId="1" applyFont="1"/>
    <xf numFmtId="43" fontId="0" fillId="0" borderId="12" xfId="1" applyFont="1" applyBorder="1"/>
    <xf numFmtId="43" fontId="0" fillId="0" borderId="14" xfId="1" applyFont="1" applyBorder="1" applyAlignment="1">
      <alignment horizontal="right"/>
    </xf>
    <xf numFmtId="43" fontId="0" fillId="0" borderId="5" xfId="1" applyFont="1" applyBorder="1"/>
    <xf numFmtId="43" fontId="0" fillId="0" borderId="6" xfId="1" applyFont="1" applyBorder="1" applyAlignment="1">
      <alignment horizontal="right"/>
    </xf>
    <xf numFmtId="165" fontId="4" fillId="0" borderId="0" xfId="1" applyNumberFormat="1" applyFont="1" applyBorder="1"/>
    <xf numFmtId="165" fontId="4" fillId="0" borderId="13" xfId="1" applyNumberFormat="1" applyFont="1" applyBorder="1"/>
    <xf numFmtId="43" fontId="0" fillId="0" borderId="3" xfId="1" applyFont="1" applyBorder="1"/>
    <xf numFmtId="43" fontId="0" fillId="0" borderId="4" xfId="1" applyFont="1" applyBorder="1" applyAlignment="1">
      <alignment horizontal="right"/>
    </xf>
    <xf numFmtId="43" fontId="2" fillId="0" borderId="14" xfId="1" applyFont="1" applyBorder="1"/>
    <xf numFmtId="43" fontId="2" fillId="0" borderId="4" xfId="1" applyFont="1" applyBorder="1"/>
    <xf numFmtId="43" fontId="3" fillId="0" borderId="6" xfId="1" applyFont="1" applyBorder="1"/>
    <xf numFmtId="164" fontId="0" fillId="0" borderId="6" xfId="1" applyNumberFormat="1" applyFont="1" applyBorder="1"/>
    <xf numFmtId="165" fontId="0" fillId="0" borderId="1" xfId="1" applyNumberFormat="1" applyFont="1" applyBorder="1" applyAlignment="1">
      <alignment horizontal="center"/>
    </xf>
    <xf numFmtId="165" fontId="0" fillId="0" borderId="7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165" fontId="0" fillId="2" borderId="7" xfId="1" applyNumberFormat="1" applyFont="1" applyFill="1" applyBorder="1" applyAlignment="1">
      <alignment horizontal="center"/>
    </xf>
    <xf numFmtId="165" fontId="0" fillId="2" borderId="2" xfId="1" applyNumberFormat="1" applyFont="1" applyFill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2" xfId="1" applyFont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43" fontId="0" fillId="2" borderId="7" xfId="1" applyFont="1" applyFill="1" applyBorder="1" applyAlignment="1">
      <alignment horizontal="center"/>
    </xf>
    <xf numFmtId="43" fontId="0" fillId="2" borderId="2" xfId="1" applyFont="1" applyFill="1" applyBorder="1" applyAlignment="1">
      <alignment horizontal="center"/>
    </xf>
    <xf numFmtId="9" fontId="3" fillId="0" borderId="8" xfId="2" applyNumberFormat="1" applyFont="1" applyBorder="1"/>
  </cellXfs>
  <cellStyles count="3">
    <cellStyle name="Ezres" xfId="1" builtinId="3"/>
    <cellStyle name="Normál" xfId="0" builtinId="0"/>
    <cellStyle name="Százalék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F2E2-3E90-4169-89B4-7EAD02006BB3}">
  <dimension ref="B1:H34"/>
  <sheetViews>
    <sheetView tabSelected="1" zoomScaleNormal="100" workbookViewId="0"/>
  </sheetViews>
  <sheetFormatPr defaultColWidth="8.85546875" defaultRowHeight="15" x14ac:dyDescent="0.25"/>
  <cols>
    <col min="1" max="1" width="3" style="1" customWidth="1"/>
    <col min="2" max="2" width="13.42578125" style="1" bestFit="1" customWidth="1"/>
    <col min="3" max="3" width="11" style="1" bestFit="1" customWidth="1"/>
    <col min="4" max="4" width="5" style="1" bestFit="1" customWidth="1"/>
    <col min="5" max="5" width="8.85546875" style="1"/>
    <col min="6" max="6" width="22.7109375" style="1" bestFit="1" customWidth="1"/>
    <col min="7" max="7" width="8.85546875" style="1"/>
    <col min="8" max="8" width="29.5703125" style="1" bestFit="1" customWidth="1"/>
    <col min="9" max="16384" width="8.85546875" style="1"/>
  </cols>
  <sheetData>
    <row r="1" spans="2:8" ht="15.75" thickBot="1" x14ac:dyDescent="0.3"/>
    <row r="2" spans="2:8" ht="15.75" thickBot="1" x14ac:dyDescent="0.3">
      <c r="B2" s="41" t="s">
        <v>0</v>
      </c>
      <c r="C2" s="42"/>
      <c r="D2" s="43"/>
      <c r="F2" s="44" t="s">
        <v>21</v>
      </c>
      <c r="G2" s="45"/>
      <c r="H2" s="46"/>
    </row>
    <row r="3" spans="2:8" x14ac:dyDescent="0.25">
      <c r="B3" s="4" t="s">
        <v>1</v>
      </c>
      <c r="C3" s="6">
        <v>15000</v>
      </c>
      <c r="D3" s="2"/>
      <c r="F3" s="9" t="s">
        <v>7</v>
      </c>
      <c r="G3" s="15">
        <f>C3*C4</f>
        <v>120000</v>
      </c>
      <c r="H3" s="11" t="s">
        <v>9</v>
      </c>
    </row>
    <row r="4" spans="2:8" x14ac:dyDescent="0.25">
      <c r="B4" s="4" t="s">
        <v>2</v>
      </c>
      <c r="C4" s="6">
        <v>8</v>
      </c>
      <c r="D4" s="2"/>
      <c r="F4" s="4" t="s">
        <v>6</v>
      </c>
      <c r="G4" s="16">
        <f>C10*0</f>
        <v>0</v>
      </c>
      <c r="H4" s="12" t="s">
        <v>10</v>
      </c>
    </row>
    <row r="5" spans="2:8" x14ac:dyDescent="0.25">
      <c r="B5" s="4" t="s">
        <v>3</v>
      </c>
      <c r="C5" s="6">
        <v>21000</v>
      </c>
      <c r="D5" s="2"/>
      <c r="F5" s="4" t="s">
        <v>3</v>
      </c>
      <c r="G5" s="17">
        <f>C5*1</f>
        <v>21000</v>
      </c>
      <c r="H5" s="12" t="s">
        <v>11</v>
      </c>
    </row>
    <row r="6" spans="2:8" x14ac:dyDescent="0.25">
      <c r="B6" s="4" t="s">
        <v>4</v>
      </c>
      <c r="C6" s="6">
        <v>3000</v>
      </c>
      <c r="D6" s="8">
        <v>0.8</v>
      </c>
      <c r="F6" s="4" t="s">
        <v>4</v>
      </c>
      <c r="G6" s="17">
        <f>C6*D6+C7*D7</f>
        <v>12000</v>
      </c>
      <c r="H6" s="12" t="s">
        <v>13</v>
      </c>
    </row>
    <row r="7" spans="2:8" x14ac:dyDescent="0.25">
      <c r="B7" s="4"/>
      <c r="C7" s="6">
        <v>16000</v>
      </c>
      <c r="D7" s="8">
        <v>0.6</v>
      </c>
      <c r="F7" s="4" t="s">
        <v>5</v>
      </c>
      <c r="G7" s="17">
        <f>C8*D8+C9*D9</f>
        <v>22600</v>
      </c>
      <c r="H7" s="12" t="s">
        <v>12</v>
      </c>
    </row>
    <row r="8" spans="2:8" x14ac:dyDescent="0.25">
      <c r="B8" s="4" t="s">
        <v>5</v>
      </c>
      <c r="C8" s="6">
        <v>6000</v>
      </c>
      <c r="D8" s="8">
        <v>1.6</v>
      </c>
      <c r="F8" s="4"/>
      <c r="G8" s="2"/>
      <c r="H8" s="12"/>
    </row>
    <row r="9" spans="2:8" x14ac:dyDescent="0.25">
      <c r="B9" s="4"/>
      <c r="C9" s="6">
        <v>10000</v>
      </c>
      <c r="D9" s="8">
        <v>1.3</v>
      </c>
      <c r="F9" s="4" t="s">
        <v>14</v>
      </c>
      <c r="G9" s="17">
        <f>SUM(C5:C10)</f>
        <v>76000</v>
      </c>
      <c r="H9" s="12" t="s">
        <v>17</v>
      </c>
    </row>
    <row r="10" spans="2:8" ht="15.75" thickBot="1" x14ac:dyDescent="0.3">
      <c r="B10" s="5" t="s">
        <v>6</v>
      </c>
      <c r="C10" s="7">
        <v>20000</v>
      </c>
      <c r="D10" s="3"/>
      <c r="F10" s="4" t="s">
        <v>15</v>
      </c>
      <c r="G10" s="17">
        <f>SUM(G4:G7)</f>
        <v>55600</v>
      </c>
      <c r="H10" s="12" t="s">
        <v>18</v>
      </c>
    </row>
    <row r="11" spans="2:8" x14ac:dyDescent="0.25">
      <c r="F11" s="4" t="s">
        <v>8</v>
      </c>
      <c r="G11" s="14">
        <f>G10/G9</f>
        <v>0.73157894736842111</v>
      </c>
      <c r="H11" s="12" t="s">
        <v>19</v>
      </c>
    </row>
    <row r="12" spans="2:8" ht="15.75" thickBot="1" x14ac:dyDescent="0.3">
      <c r="F12" s="5" t="s">
        <v>16</v>
      </c>
      <c r="G12" s="18">
        <f>G9*(1-G11)</f>
        <v>20399.999999999996</v>
      </c>
      <c r="H12" s="13" t="s">
        <v>20</v>
      </c>
    </row>
    <row r="13" spans="2:8" ht="15.75" thickBot="1" x14ac:dyDescent="0.3"/>
    <row r="14" spans="2:8" x14ac:dyDescent="0.25">
      <c r="F14" s="9" t="s">
        <v>24</v>
      </c>
      <c r="G14" s="10">
        <f>SUM(G5:G7)</f>
        <v>55600</v>
      </c>
      <c r="H14" s="11"/>
    </row>
    <row r="15" spans="2:8" x14ac:dyDescent="0.25">
      <c r="F15" s="4" t="s">
        <v>25</v>
      </c>
      <c r="G15" s="2">
        <f>G3-G14</f>
        <v>64400</v>
      </c>
      <c r="H15" s="12" t="s">
        <v>26</v>
      </c>
    </row>
    <row r="16" spans="2:8" x14ac:dyDescent="0.25">
      <c r="F16" s="4" t="s">
        <v>6</v>
      </c>
      <c r="G16" s="2">
        <f>G12</f>
        <v>20399.999999999996</v>
      </c>
      <c r="H16" s="12"/>
    </row>
    <row r="17" spans="6:8" x14ac:dyDescent="0.25">
      <c r="F17" s="4" t="s">
        <v>23</v>
      </c>
      <c r="G17" s="2">
        <f>G15-G16</f>
        <v>44000</v>
      </c>
      <c r="H17" s="12" t="s">
        <v>27</v>
      </c>
    </row>
    <row r="18" spans="6:8" ht="15.75" thickBot="1" x14ac:dyDescent="0.3">
      <c r="F18" s="5" t="s">
        <v>22</v>
      </c>
      <c r="G18" s="19">
        <f>G17/G3</f>
        <v>0.36666666666666664</v>
      </c>
      <c r="H18" s="13" t="s">
        <v>28</v>
      </c>
    </row>
    <row r="19" spans="6:8" ht="15.75" thickBot="1" x14ac:dyDescent="0.3"/>
    <row r="20" spans="6:8" ht="15.75" thickBot="1" x14ac:dyDescent="0.3">
      <c r="F20" s="44" t="s">
        <v>29</v>
      </c>
      <c r="G20" s="45"/>
      <c r="H20" s="46"/>
    </row>
    <row r="21" spans="6:8" x14ac:dyDescent="0.25">
      <c r="F21" s="9" t="s">
        <v>1</v>
      </c>
      <c r="G21" s="10">
        <f>C3*1.25</f>
        <v>18750</v>
      </c>
      <c r="H21" s="11" t="s">
        <v>30</v>
      </c>
    </row>
    <row r="22" spans="6:8" x14ac:dyDescent="0.25">
      <c r="F22" s="4" t="s">
        <v>7</v>
      </c>
      <c r="G22" s="2">
        <f>G21*C4</f>
        <v>150000</v>
      </c>
      <c r="H22" s="12" t="s">
        <v>31</v>
      </c>
    </row>
    <row r="23" spans="6:8" x14ac:dyDescent="0.25">
      <c r="F23" s="4" t="s">
        <v>24</v>
      </c>
      <c r="G23" s="2">
        <f>G14*1.25</f>
        <v>69500</v>
      </c>
      <c r="H23" s="12" t="s">
        <v>32</v>
      </c>
    </row>
    <row r="24" spans="6:8" x14ac:dyDescent="0.25">
      <c r="F24" s="4" t="s">
        <v>6</v>
      </c>
      <c r="G24" s="2">
        <f>G16</f>
        <v>20399.999999999996</v>
      </c>
      <c r="H24" s="12"/>
    </row>
    <row r="25" spans="6:8" x14ac:dyDescent="0.25">
      <c r="F25" s="4" t="s">
        <v>23</v>
      </c>
      <c r="G25" s="24">
        <f>G22-G23-G24</f>
        <v>60100</v>
      </c>
      <c r="H25" s="12" t="s">
        <v>33</v>
      </c>
    </row>
    <row r="26" spans="6:8" ht="15.75" thickBot="1" x14ac:dyDescent="0.3">
      <c r="F26" s="5" t="s">
        <v>22</v>
      </c>
      <c r="G26" s="25">
        <f>G25/G22</f>
        <v>0.40066666666666667</v>
      </c>
      <c r="H26" s="13" t="s">
        <v>34</v>
      </c>
    </row>
    <row r="27" spans="6:8" x14ac:dyDescent="0.25">
      <c r="F27" s="9" t="s">
        <v>1</v>
      </c>
      <c r="G27" s="10">
        <f>C3*1.4</f>
        <v>21000</v>
      </c>
      <c r="H27" s="21" t="s">
        <v>35</v>
      </c>
    </row>
    <row r="28" spans="6:8" x14ac:dyDescent="0.25">
      <c r="F28" s="4" t="s">
        <v>7</v>
      </c>
      <c r="G28" s="2">
        <f>G27*C4</f>
        <v>168000</v>
      </c>
      <c r="H28" s="22" t="s">
        <v>36</v>
      </c>
    </row>
    <row r="29" spans="6:8" x14ac:dyDescent="0.25">
      <c r="F29" s="4" t="s">
        <v>14</v>
      </c>
      <c r="G29" s="2">
        <v>116000</v>
      </c>
      <c r="H29" s="22"/>
    </row>
    <row r="30" spans="6:8" x14ac:dyDescent="0.25">
      <c r="F30" s="4" t="s">
        <v>8</v>
      </c>
      <c r="G30" s="20">
        <v>0.6</v>
      </c>
      <c r="H30" s="22"/>
    </row>
    <row r="31" spans="6:8" x14ac:dyDescent="0.25">
      <c r="F31" s="4" t="s">
        <v>24</v>
      </c>
      <c r="G31" s="2">
        <f>G30*G29</f>
        <v>69600</v>
      </c>
      <c r="H31" s="22" t="s">
        <v>37</v>
      </c>
    </row>
    <row r="32" spans="6:8" x14ac:dyDescent="0.25">
      <c r="F32" s="4" t="s">
        <v>6</v>
      </c>
      <c r="G32" s="2">
        <f>G29-G31</f>
        <v>46400</v>
      </c>
      <c r="H32" s="22" t="s">
        <v>38</v>
      </c>
    </row>
    <row r="33" spans="6:8" x14ac:dyDescent="0.25">
      <c r="F33" s="4" t="s">
        <v>23</v>
      </c>
      <c r="G33" s="24">
        <f>G28-G31-G32</f>
        <v>52000</v>
      </c>
      <c r="H33" s="22" t="s">
        <v>39</v>
      </c>
    </row>
    <row r="34" spans="6:8" ht="15.75" thickBot="1" x14ac:dyDescent="0.3">
      <c r="F34" s="5" t="s">
        <v>22</v>
      </c>
      <c r="G34" s="25">
        <f>G33/G28</f>
        <v>0.30952380952380953</v>
      </c>
      <c r="H34" s="23" t="s">
        <v>40</v>
      </c>
    </row>
  </sheetData>
  <mergeCells count="3">
    <mergeCell ref="B2:D2"/>
    <mergeCell ref="F2:H2"/>
    <mergeCell ref="F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B8E4-CBA4-4883-B7BC-324CD9CCE5AB}">
  <dimension ref="B1:G18"/>
  <sheetViews>
    <sheetView workbookViewId="0"/>
  </sheetViews>
  <sheetFormatPr defaultColWidth="8.85546875" defaultRowHeight="15" x14ac:dyDescent="0.25"/>
  <cols>
    <col min="1" max="1" width="3.140625" style="28" customWidth="1"/>
    <col min="2" max="2" width="20.140625" style="28" bestFit="1" customWidth="1"/>
    <col min="3" max="3" width="14.42578125" style="28" bestFit="1" customWidth="1"/>
    <col min="4" max="4" width="41.85546875" style="28" bestFit="1" customWidth="1"/>
    <col min="5" max="5" width="3.140625" style="28" customWidth="1"/>
    <col min="6" max="6" width="10.140625" style="28" bestFit="1" customWidth="1"/>
    <col min="7" max="7" width="16.42578125" style="28" bestFit="1" customWidth="1"/>
    <col min="8" max="16384" width="8.85546875" style="28"/>
  </cols>
  <sheetData>
    <row r="1" spans="2:7" ht="15.75" thickBot="1" x14ac:dyDescent="0.3"/>
    <row r="2" spans="2:7" ht="15.75" thickBot="1" x14ac:dyDescent="0.3">
      <c r="B2" s="47" t="s">
        <v>0</v>
      </c>
      <c r="C2" s="48"/>
      <c r="F2" s="49" t="s">
        <v>47</v>
      </c>
      <c r="G2" s="51"/>
    </row>
    <row r="3" spans="2:7" x14ac:dyDescent="0.25">
      <c r="B3" s="35" t="s">
        <v>1</v>
      </c>
      <c r="C3" s="2">
        <v>100000</v>
      </c>
      <c r="F3" s="29" t="s">
        <v>1</v>
      </c>
      <c r="G3" s="37">
        <f>C3*1.2</f>
        <v>120000</v>
      </c>
    </row>
    <row r="4" spans="2:7" x14ac:dyDescent="0.25">
      <c r="B4" s="35" t="s">
        <v>51</v>
      </c>
      <c r="C4" s="2">
        <v>6000</v>
      </c>
      <c r="F4" s="35" t="s">
        <v>7</v>
      </c>
      <c r="G4" s="38">
        <f>G3*C5/1000</f>
        <v>1200000</v>
      </c>
    </row>
    <row r="5" spans="2:7" ht="15.75" thickBot="1" x14ac:dyDescent="0.3">
      <c r="B5" s="35" t="s">
        <v>2</v>
      </c>
      <c r="C5" s="2">
        <f>C4/(1-C7)</f>
        <v>10000</v>
      </c>
      <c r="F5" s="31" t="s">
        <v>23</v>
      </c>
      <c r="G5" s="39">
        <f>C12*1.2</f>
        <v>240000</v>
      </c>
    </row>
    <row r="6" spans="2:7" x14ac:dyDescent="0.25">
      <c r="B6" s="35" t="s">
        <v>24</v>
      </c>
      <c r="C6" s="2">
        <f>C4*C3/1000</f>
        <v>600000</v>
      </c>
    </row>
    <row r="7" spans="2:7" x14ac:dyDescent="0.25">
      <c r="B7" s="35" t="s">
        <v>41</v>
      </c>
      <c r="C7" s="8">
        <v>0.4</v>
      </c>
    </row>
    <row r="8" spans="2:7" ht="15.75" thickBot="1" x14ac:dyDescent="0.3">
      <c r="B8" s="31" t="s">
        <v>22</v>
      </c>
      <c r="C8" s="40">
        <v>0.2</v>
      </c>
    </row>
    <row r="9" spans="2:7" ht="15.75" thickBot="1" x14ac:dyDescent="0.3"/>
    <row r="10" spans="2:7" ht="15.75" thickBot="1" x14ac:dyDescent="0.3">
      <c r="B10" s="49" t="s">
        <v>44</v>
      </c>
      <c r="C10" s="50"/>
      <c r="D10" s="51"/>
    </row>
    <row r="11" spans="2:7" x14ac:dyDescent="0.25">
      <c r="B11" s="29" t="s">
        <v>7</v>
      </c>
      <c r="C11" s="27">
        <v>1000000</v>
      </c>
      <c r="D11" s="30" t="s">
        <v>42</v>
      </c>
    </row>
    <row r="12" spans="2:7" ht="15.75" thickBot="1" x14ac:dyDescent="0.3">
      <c r="B12" s="31" t="s">
        <v>23</v>
      </c>
      <c r="C12" s="26">
        <v>200000</v>
      </c>
      <c r="D12" s="32" t="s">
        <v>43</v>
      </c>
    </row>
    <row r="13" spans="2:7" ht="15.75" thickBot="1" x14ac:dyDescent="0.3"/>
    <row r="14" spans="2:7" ht="15.75" thickBot="1" x14ac:dyDescent="0.3">
      <c r="B14" s="49" t="s">
        <v>45</v>
      </c>
      <c r="C14" s="50"/>
      <c r="D14" s="51"/>
    </row>
    <row r="15" spans="2:7" x14ac:dyDescent="0.25">
      <c r="B15" s="29" t="s">
        <v>48</v>
      </c>
      <c r="C15" s="34">
        <f>0.2*C3</f>
        <v>20000</v>
      </c>
      <c r="D15" s="30" t="s">
        <v>49</v>
      </c>
    </row>
    <row r="16" spans="2:7" x14ac:dyDescent="0.25">
      <c r="B16" s="35" t="s">
        <v>50</v>
      </c>
      <c r="C16" s="33">
        <f>C15*C5/1000</f>
        <v>200000</v>
      </c>
      <c r="D16" s="36" t="s">
        <v>54</v>
      </c>
    </row>
    <row r="17" spans="2:4" x14ac:dyDescent="0.25">
      <c r="B17" s="35" t="s">
        <v>52</v>
      </c>
      <c r="C17" s="33">
        <f>C8*C16</f>
        <v>40000</v>
      </c>
      <c r="D17" s="36" t="s">
        <v>55</v>
      </c>
    </row>
    <row r="18" spans="2:4" ht="15.75" thickBot="1" x14ac:dyDescent="0.3">
      <c r="B18" s="31" t="s">
        <v>46</v>
      </c>
      <c r="C18" s="52">
        <f>C7/C8/100</f>
        <v>0.02</v>
      </c>
      <c r="D18" s="32" t="s">
        <v>53</v>
      </c>
    </row>
  </sheetData>
  <mergeCells count="4">
    <mergeCell ref="B2:C2"/>
    <mergeCell ref="B10:D10"/>
    <mergeCell ref="B14:D14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1. Feladat</vt:lpstr>
      <vt:lpstr>2. Feladat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Lizadora@sulid.hu</dc:creator>
  <cp:lastModifiedBy>Liza Czibulka</cp:lastModifiedBy>
  <dcterms:created xsi:type="dcterms:W3CDTF">2024-12-09T10:24:20Z</dcterms:created>
  <dcterms:modified xsi:type="dcterms:W3CDTF">2024-12-10T17:22:16Z</dcterms:modified>
</cp:coreProperties>
</file>