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loudDrive\V. szemeszter\Kontrolling\ZH\"/>
    </mc:Choice>
  </mc:AlternateContent>
  <xr:revisionPtr revIDLastSave="0" documentId="13_ncr:1_{1CBE1F58-6010-4AE4-8E8D-F3938249A2A1}" xr6:coauthVersionLast="47" xr6:coauthVersionMax="47" xr10:uidLastSave="{00000000-0000-0000-0000-000000000000}"/>
  <bookViews>
    <workbookView xWindow="14295" yWindow="0" windowWidth="14610" windowHeight="15585" activeTab="1" xr2:uid="{8E00722E-3BDA-4877-AB75-8434AB9C5011}"/>
  </bookViews>
  <sheets>
    <sheet name="1. Feladat" sheetId="1" r:id="rId1"/>
    <sheet name="2. Felad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G16" i="2"/>
  <c r="C16" i="2"/>
  <c r="H9" i="2"/>
  <c r="H8" i="2"/>
  <c r="H7" i="2"/>
  <c r="H6" i="2"/>
  <c r="F4" i="2"/>
  <c r="F3" i="2"/>
  <c r="G19" i="1"/>
  <c r="C19" i="1"/>
  <c r="D24" i="1" s="1"/>
  <c r="D14" i="1"/>
  <c r="E14" i="1"/>
  <c r="C14" i="1"/>
  <c r="E13" i="1"/>
  <c r="D13" i="1"/>
  <c r="C13" i="1"/>
  <c r="C15" i="1" s="1"/>
  <c r="C16" i="1" s="1"/>
  <c r="F19" i="1" l="1"/>
  <c r="F21" i="1" s="1"/>
  <c r="F23" i="1" s="1"/>
  <c r="E19" i="1"/>
  <c r="E24" i="1" s="1"/>
  <c r="F14" i="1"/>
  <c r="E15" i="1"/>
  <c r="E16" i="1" s="1"/>
  <c r="D15" i="1"/>
  <c r="D16" i="1" s="1"/>
  <c r="F16" i="1" s="1"/>
  <c r="C22" i="1" s="1"/>
  <c r="G24" i="1" s="1"/>
  <c r="F13" i="1"/>
  <c r="C20" i="1" s="1"/>
  <c r="F15" i="1"/>
  <c r="D20" i="1" l="1"/>
  <c r="D21" i="1" s="1"/>
  <c r="D23" i="1" s="1"/>
  <c r="G20" i="1"/>
  <c r="G21" i="1" s="1"/>
  <c r="G23" i="1" s="1"/>
  <c r="G25" i="1" s="1"/>
  <c r="E20" i="1"/>
  <c r="E21" i="1" s="1"/>
  <c r="F24" i="1"/>
  <c r="C21" i="1"/>
  <c r="C23" i="1" s="1"/>
  <c r="F25" i="1" s="1"/>
  <c r="D22" i="1"/>
  <c r="E22" i="1"/>
  <c r="E23" i="1" l="1"/>
  <c r="E25" i="1" s="1"/>
  <c r="D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Czibulka Liza</author>
  </authors>
  <commentList>
    <comment ref="C13" authorId="0" shapeId="0" xr:uid="{F7242EFC-4C05-4BAC-82BA-5D19071132A2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Progr.ktsg * reag.fok</t>
        </r>
      </text>
    </comment>
    <comment ref="C14" authorId="0" shapeId="0" xr:uid="{57ACB874-A4EE-4B92-B7AB-E719402260D6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Degr.ktsg * reag.fok</t>
        </r>
      </text>
    </comment>
    <comment ref="C15" authorId="0" shapeId="0" xr:uid="{C607533D-C6BA-4495-BF02-69DF4D379DD1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(prop ktsg + red progr ktsg + red degr ktsg) /
(fix ktsg + prop ktsg + progr ktsg + degr ktsg)</t>
        </r>
      </text>
    </comment>
    <comment ref="C16" authorId="0" shapeId="0" xr:uid="{3EE80D53-14EE-43A1-87C2-1941C1E6DC7E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költségek összege * (1-átl reag fok)</t>
        </r>
      </text>
    </comment>
    <comment ref="C19" authorId="0" shapeId="0" xr:uid="{F5829E29-AFC1-45AD-9369-8FB5C139EC1D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termelés * listaár / 1000 összeadása mind a 3-nál</t>
        </r>
      </text>
    </comment>
    <comment ref="C20" authorId="0" shapeId="0" xr:uid="{C6461162-15B2-4B2D-AF32-1BC39CA87D3E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prop ktsg + red progr ktsg + red degr ktsg</t>
        </r>
      </text>
    </comment>
    <comment ref="C21" authorId="0" shapeId="0" xr:uid="{D0347149-56A7-42FF-A8DA-7F85C40F286C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S - VC</t>
        </r>
      </text>
    </comment>
    <comment ref="C23" authorId="0" shapeId="0" xr:uid="{6AEDF758-731C-4FE9-A19E-322BBB27C699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FED - FC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Czibulka Liza</author>
  </authors>
  <commentList>
    <comment ref="E3" authorId="0" shapeId="0" xr:uid="{13D68287-C01F-4EAE-8E2F-7962CAF5988B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S / Q</t>
        </r>
      </text>
    </comment>
    <comment ref="E4" authorId="0" shapeId="0" xr:uid="{5002DE00-0E40-499C-93BD-AA34F9842480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VC / Q</t>
        </r>
      </text>
    </comment>
    <comment ref="E6" authorId="0" shapeId="0" xr:uid="{6A0BAF00-1751-44DF-AAF9-CEEB6AAE1A69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S - VC</t>
        </r>
      </text>
    </comment>
    <comment ref="E7" authorId="0" shapeId="0" xr:uid="{CAD0F7E5-3272-4F98-81CF-79C2D0EDC485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FED / S</t>
        </r>
      </text>
    </comment>
    <comment ref="E8" authorId="0" shapeId="0" xr:uid="{4C229ECF-C346-41A0-8F07-6FEC4FD29D75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(p-v)*Q = FC
(2-1,25)*Q = 8 000</t>
        </r>
      </text>
    </comment>
    <comment ref="E9" authorId="0" shapeId="0" xr:uid="{FDC73BD9-281D-4ACE-AAC8-20DD9EA43002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(p-v)*Q = FC
(p-1,25)*20 000 = 8000</t>
        </r>
      </text>
    </comment>
    <comment ref="F17" authorId="0" shapeId="0" xr:uid="{59327900-8AD3-4852-B5A2-1214BB9355F7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(p - p0) / p0
(1,282 - 2) / 2</t>
        </r>
      </text>
    </comment>
  </commentList>
</comments>
</file>

<file path=xl/sharedStrings.xml><?xml version="1.0" encoding="utf-8"?>
<sst xmlns="http://schemas.openxmlformats.org/spreadsheetml/2006/main" count="88" uniqueCount="74">
  <si>
    <t>A</t>
  </si>
  <si>
    <t>B</t>
  </si>
  <si>
    <t>C</t>
  </si>
  <si>
    <t>Termelés és értékesítés mennyisége (db)</t>
  </si>
  <si>
    <t>Normaóra szükséglet (óra/db)</t>
  </si>
  <si>
    <t>Listaár (Ft/db)</t>
  </si>
  <si>
    <t>Termelési költségek (e Ft)</t>
  </si>
  <si>
    <t>Fix költség</t>
  </si>
  <si>
    <t>Propocionális költség</t>
  </si>
  <si>
    <t>Degresszív költség (reagálási fok)</t>
  </si>
  <si>
    <t>Progresszív költség (reagálási fok)</t>
  </si>
  <si>
    <t>1000 (1,1)</t>
  </si>
  <si>
    <t>500 (0,8)</t>
  </si>
  <si>
    <t>900 (1,4)</t>
  </si>
  <si>
    <t>700 (0,9)</t>
  </si>
  <si>
    <t>800 (1,2)</t>
  </si>
  <si>
    <t>600 (0,7)</t>
  </si>
  <si>
    <t>Összesen</t>
  </si>
  <si>
    <t>Bázis</t>
  </si>
  <si>
    <t>Áremelés</t>
  </si>
  <si>
    <t>Forg. Növ.</t>
  </si>
  <si>
    <t>VC</t>
  </si>
  <si>
    <t>FC</t>
  </si>
  <si>
    <t>Árbevétel (S)</t>
  </si>
  <si>
    <t>Nyereség (PROFIT)</t>
  </si>
  <si>
    <t>Fix költség (FC)</t>
  </si>
  <si>
    <t>Fedezet (FED)</t>
  </si>
  <si>
    <t>Átlagos reagálási fok</t>
  </si>
  <si>
    <t>Redukált fix költség</t>
  </si>
  <si>
    <t>Redukált Progreszív költség</t>
  </si>
  <si>
    <t>Redukált Degresszív költség</t>
  </si>
  <si>
    <t>Változó költség (VC)</t>
  </si>
  <si>
    <t>Tényezőváltozás</t>
  </si>
  <si>
    <t>Nyereségérzékenységi szorzó (abszolút értékben)</t>
  </si>
  <si>
    <t>(S - 9 970 - 5 330) / S = 0,2</t>
  </si>
  <si>
    <t>-</t>
  </si>
  <si>
    <t>nyereségérzékenységi szorzó:</t>
  </si>
  <si>
    <t>(19 125 - 18 100) / 18 100</t>
  </si>
  <si>
    <t>tényezőváltozás:</t>
  </si>
  <si>
    <t>(3825 - 2800) / 2800 / 5,66%</t>
  </si>
  <si>
    <t>((18 100 - 9 970) * x - 5 330) / 18 100 * x = 0,2</t>
  </si>
  <si>
    <t>x = 1,1818</t>
  </si>
  <si>
    <t>(4 278 - 2800) / 2800 / 18,18%</t>
  </si>
  <si>
    <t>VC csökkentése</t>
  </si>
  <si>
    <t>(18 100 - VC - 5 330) / 18 100 = 0,2</t>
  </si>
  <si>
    <t>nyereségérzékenyégi szorzó:</t>
  </si>
  <si>
    <t>FC csökkentése</t>
  </si>
  <si>
    <t>(9 150 - 9 970) / 9 970</t>
  </si>
  <si>
    <t>(3 620 - 2800) / 2800 / (-8,22%)</t>
  </si>
  <si>
    <t>(18 100 - 9 970 - FC) / 18 100 = 0,2</t>
  </si>
  <si>
    <t>(4 510 - 5 330) / 5 330</t>
  </si>
  <si>
    <t>(21 391 - 18 100) / 18 100</t>
  </si>
  <si>
    <t>(3 620 - 2 800) / 2800 / (-15,38%)</t>
  </si>
  <si>
    <t>Az áremelés a legjobb opció, mert annak a legkedvezőbb a nyereségérzékenységi szorzója. Az áremelés során az ár 5,66%-kal nő.</t>
  </si>
  <si>
    <t>Adatok</t>
  </si>
  <si>
    <t>Q =</t>
  </si>
  <si>
    <t>S =</t>
  </si>
  <si>
    <t>VC =</t>
  </si>
  <si>
    <t>FC =</t>
  </si>
  <si>
    <t>p =</t>
  </si>
  <si>
    <t>v =</t>
  </si>
  <si>
    <t>fedezeti összeg (FED) =</t>
  </si>
  <si>
    <t>fedezeti hányad =</t>
  </si>
  <si>
    <t>fedezeti pont =</t>
  </si>
  <si>
    <t>fedezeti ár =</t>
  </si>
  <si>
    <t>a)</t>
  </si>
  <si>
    <t>b)</t>
  </si>
  <si>
    <t>PROFIT =</t>
  </si>
  <si>
    <t>(p - v) * Q - FC = 10 000</t>
  </si>
  <si>
    <t>(2 - 1,25) * Q - 8 000 = 10 000</t>
  </si>
  <si>
    <t>c)</t>
  </si>
  <si>
    <t>(p - v) * Q - FC = 0</t>
  </si>
  <si>
    <t>(p - 1,25) * 250 000 - 8 000 = 0</t>
  </si>
  <si>
    <t>árengedmény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</si>
</sst>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9" formatCode="_-* #,##0.0000_-;\-* #,##0.0000_-;_-* &quot;-&quot;??_-;_-@_-"/>
  </numFmts>
  <fonts count="7" x14ac:knownFonts="1">
    <font>
      <sz val="12"/>
      <color theme="1"/>
      <name val="Times New Roman"/>
      <family val="2"/>
      <charset val="238"/>
    </font>
    <font>
      <sz val="12"/>
      <color theme="1"/>
      <name val="Times New Roman"/>
      <family val="2"/>
      <charset val="238"/>
    </font>
    <font>
      <b/>
      <sz val="12"/>
      <color theme="1"/>
      <name val="Times New Roman"/>
      <family val="1"/>
      <charset val="238"/>
    </font>
    <font>
      <sz val="12"/>
      <color rgb="FF00B0F0"/>
      <name val="Times New Roman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2"/>
      <color rgb="FF00B0F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164" fontId="0" fillId="0" borderId="0" xfId="1" applyNumberFormat="1" applyFont="1"/>
    <xf numFmtId="164" fontId="2" fillId="0" borderId="3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164" fontId="2" fillId="0" borderId="1" xfId="1" applyNumberFormat="1" applyFont="1" applyBorder="1"/>
    <xf numFmtId="164" fontId="0" fillId="0" borderId="5" xfId="1" applyNumberFormat="1" applyFont="1" applyBorder="1"/>
    <xf numFmtId="164" fontId="2" fillId="0" borderId="5" xfId="1" applyNumberFormat="1" applyFont="1" applyBorder="1"/>
    <xf numFmtId="164" fontId="0" fillId="0" borderId="6" xfId="1" applyNumberFormat="1" applyFont="1" applyBorder="1"/>
    <xf numFmtId="164" fontId="0" fillId="0" borderId="0" xfId="1" applyNumberFormat="1" applyFont="1" applyBorder="1" applyAlignment="1">
      <alignment horizontal="right"/>
    </xf>
    <xf numFmtId="164" fontId="0" fillId="0" borderId="7" xfId="1" applyNumberFormat="1" applyFont="1" applyBorder="1" applyAlignment="1">
      <alignment horizontal="right"/>
    </xf>
    <xf numFmtId="164" fontId="0" fillId="0" borderId="8" xfId="1" applyNumberFormat="1" applyFont="1" applyBorder="1" applyAlignment="1">
      <alignment horizontal="right"/>
    </xf>
    <xf numFmtId="164" fontId="0" fillId="0" borderId="9" xfId="1" applyNumberFormat="1" applyFont="1" applyBorder="1" applyAlignment="1">
      <alignment horizontal="right"/>
    </xf>
    <xf numFmtId="164" fontId="2" fillId="0" borderId="2" xfId="1" applyNumberFormat="1" applyFont="1" applyBorder="1" applyAlignment="1">
      <alignment horizontal="center" vertical="center"/>
    </xf>
    <xf numFmtId="164" fontId="0" fillId="0" borderId="1" xfId="1" applyNumberFormat="1" applyFont="1" applyBorder="1"/>
    <xf numFmtId="164" fontId="3" fillId="0" borderId="10" xfId="1" applyNumberFormat="1" applyFont="1" applyBorder="1" applyAlignment="1">
      <alignment horizontal="right"/>
    </xf>
    <xf numFmtId="164" fontId="3" fillId="0" borderId="0" xfId="1" applyNumberFormat="1" applyFont="1" applyBorder="1" applyAlignment="1">
      <alignment horizontal="right"/>
    </xf>
    <xf numFmtId="164" fontId="3" fillId="0" borderId="7" xfId="1" applyNumberFormat="1" applyFont="1" applyBorder="1" applyAlignment="1">
      <alignment horizontal="right"/>
    </xf>
    <xf numFmtId="164" fontId="3" fillId="0" borderId="8" xfId="1" applyNumberFormat="1" applyFont="1" applyBorder="1" applyAlignment="1">
      <alignment horizontal="right"/>
    </xf>
    <xf numFmtId="164" fontId="3" fillId="0" borderId="5" xfId="1" applyNumberFormat="1" applyFont="1" applyBorder="1"/>
    <xf numFmtId="164" fontId="3" fillId="0" borderId="6" xfId="1" applyNumberFormat="1" applyFont="1" applyBorder="1"/>
    <xf numFmtId="164" fontId="3" fillId="0" borderId="11" xfId="1" applyNumberFormat="1" applyFont="1" applyBorder="1"/>
    <xf numFmtId="10" fontId="3" fillId="0" borderId="8" xfId="2" applyNumberFormat="1" applyFont="1" applyBorder="1" applyAlignment="1">
      <alignment horizontal="right"/>
    </xf>
    <xf numFmtId="10" fontId="0" fillId="0" borderId="0" xfId="2" applyNumberFormat="1" applyFont="1"/>
    <xf numFmtId="164" fontId="2" fillId="0" borderId="1" xfId="1" applyNumberFormat="1" applyFont="1" applyBorder="1" applyAlignment="1">
      <alignment horizontal="center" vertical="center"/>
    </xf>
    <xf numFmtId="10" fontId="3" fillId="0" borderId="0" xfId="2" applyNumberFormat="1" applyFont="1" applyBorder="1" applyAlignment="1">
      <alignment horizontal="right"/>
    </xf>
    <xf numFmtId="164" fontId="3" fillId="0" borderId="8" xfId="1" applyNumberFormat="1" applyFont="1" applyBorder="1"/>
    <xf numFmtId="164" fontId="0" fillId="0" borderId="0" xfId="1" applyNumberFormat="1" applyFont="1" applyAlignment="1"/>
    <xf numFmtId="164" fontId="0" fillId="0" borderId="0" xfId="1" applyNumberFormat="1" applyFont="1" applyAlignment="1">
      <alignment horizontal="left"/>
    </xf>
    <xf numFmtId="10" fontId="3" fillId="0" borderId="7" xfId="2" applyNumberFormat="1" applyFont="1" applyBorder="1" applyAlignment="1">
      <alignment horizontal="right"/>
    </xf>
    <xf numFmtId="10" fontId="3" fillId="0" borderId="9" xfId="2" applyNumberFormat="1" applyFont="1" applyBorder="1" applyAlignment="1">
      <alignment horizontal="right"/>
    </xf>
    <xf numFmtId="164" fontId="0" fillId="2" borderId="11" xfId="1" applyNumberFormat="1" applyFont="1" applyFill="1" applyBorder="1"/>
    <xf numFmtId="164" fontId="0" fillId="2" borderId="12" xfId="1" applyNumberFormat="1" applyFont="1" applyFill="1" applyBorder="1" applyAlignment="1">
      <alignment horizontal="left"/>
    </xf>
    <xf numFmtId="164" fontId="0" fillId="2" borderId="10" xfId="1" applyNumberFormat="1" applyFont="1" applyFill="1" applyBorder="1" applyAlignment="1">
      <alignment horizontal="left"/>
    </xf>
    <xf numFmtId="164" fontId="0" fillId="2" borderId="13" xfId="1" applyNumberFormat="1" applyFont="1" applyFill="1" applyBorder="1" applyAlignment="1">
      <alignment horizontal="left"/>
    </xf>
    <xf numFmtId="164" fontId="0" fillId="0" borderId="14" xfId="1" applyNumberFormat="1" applyFont="1" applyBorder="1" applyAlignment="1">
      <alignment horizontal="left"/>
    </xf>
    <xf numFmtId="164" fontId="0" fillId="0" borderId="0" xfId="1" applyNumberFormat="1" applyFont="1" applyBorder="1" applyAlignment="1">
      <alignment horizontal="left"/>
    </xf>
    <xf numFmtId="164" fontId="0" fillId="0" borderId="7" xfId="1" applyNumberFormat="1" applyFont="1" applyBorder="1" applyAlignment="1">
      <alignment horizontal="left"/>
    </xf>
    <xf numFmtId="164" fontId="0" fillId="0" borderId="15" xfId="1" applyNumberFormat="1" applyFont="1" applyBorder="1" applyAlignment="1">
      <alignment horizontal="left"/>
    </xf>
    <xf numFmtId="164" fontId="0" fillId="0" borderId="8" xfId="1" applyNumberFormat="1" applyFont="1" applyBorder="1" applyAlignment="1">
      <alignment horizontal="left"/>
    </xf>
    <xf numFmtId="164" fontId="0" fillId="0" borderId="9" xfId="1" applyNumberFormat="1" applyFont="1" applyBorder="1" applyAlignment="1">
      <alignment horizontal="left"/>
    </xf>
    <xf numFmtId="164" fontId="2" fillId="2" borderId="0" xfId="1" applyNumberFormat="1" applyFont="1" applyFill="1" applyAlignment="1">
      <alignment horizontal="center"/>
    </xf>
    <xf numFmtId="164" fontId="3" fillId="2" borderId="0" xfId="1" applyNumberFormat="1" applyFont="1" applyFill="1" applyBorder="1" applyAlignment="1">
      <alignment horizontal="right"/>
    </xf>
    <xf numFmtId="164" fontId="3" fillId="2" borderId="7" xfId="1" applyNumberFormat="1" applyFont="1" applyFill="1" applyBorder="1" applyAlignment="1">
      <alignment horizontal="right"/>
    </xf>
    <xf numFmtId="164" fontId="3" fillId="2" borderId="11" xfId="1" applyNumberFormat="1" applyFont="1" applyFill="1" applyBorder="1" applyAlignment="1">
      <alignment horizontal="right"/>
    </xf>
    <xf numFmtId="164" fontId="3" fillId="2" borderId="5" xfId="1" applyNumberFormat="1" applyFont="1" applyFill="1" applyBorder="1" applyAlignment="1">
      <alignment horizontal="right"/>
    </xf>
    <xf numFmtId="10" fontId="3" fillId="2" borderId="5" xfId="2" applyNumberFormat="1" applyFont="1" applyFill="1" applyBorder="1"/>
    <xf numFmtId="164" fontId="3" fillId="2" borderId="6" xfId="1" applyNumberFormat="1" applyFont="1" applyFill="1" applyBorder="1"/>
    <xf numFmtId="164" fontId="0" fillId="0" borderId="14" xfId="1" applyNumberFormat="1" applyFont="1" applyBorder="1"/>
    <xf numFmtId="164" fontId="0" fillId="0" borderId="7" xfId="1" applyNumberFormat="1" applyFont="1" applyBorder="1"/>
    <xf numFmtId="164" fontId="0" fillId="0" borderId="9" xfId="1" applyNumberFormat="1" applyFont="1" applyBorder="1"/>
    <xf numFmtId="164" fontId="0" fillId="0" borderId="2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14" xfId="1" applyNumberFormat="1" applyFont="1" applyBorder="1" applyAlignment="1">
      <alignment horizontal="right"/>
    </xf>
    <xf numFmtId="164" fontId="0" fillId="0" borderId="15" xfId="1" applyNumberFormat="1" applyFont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64" fontId="0" fillId="2" borderId="3" xfId="1" applyNumberFormat="1" applyFont="1" applyFill="1" applyBorder="1" applyAlignment="1">
      <alignment horizontal="center"/>
    </xf>
    <xf numFmtId="164" fontId="0" fillId="2" borderId="4" xfId="1" applyNumberFormat="1" applyFont="1" applyFill="1" applyBorder="1" applyAlignment="1">
      <alignment horizontal="center"/>
    </xf>
    <xf numFmtId="164" fontId="3" fillId="0" borderId="12" xfId="1" applyNumberFormat="1" applyFont="1" applyBorder="1" applyAlignment="1">
      <alignment horizontal="right"/>
    </xf>
    <xf numFmtId="43" fontId="3" fillId="0" borderId="10" xfId="1" applyNumberFormat="1" applyFont="1" applyBorder="1"/>
    <xf numFmtId="164" fontId="0" fillId="0" borderId="10" xfId="1" applyNumberFormat="1" applyFont="1" applyBorder="1"/>
    <xf numFmtId="164" fontId="0" fillId="0" borderId="13" xfId="1" applyNumberFormat="1" applyFont="1" applyBorder="1"/>
    <xf numFmtId="164" fontId="3" fillId="0" borderId="14" xfId="1" applyNumberFormat="1" applyFont="1" applyBorder="1" applyAlignment="1">
      <alignment horizontal="right"/>
    </xf>
    <xf numFmtId="43" fontId="3" fillId="0" borderId="0" xfId="1" applyNumberFormat="1" applyFont="1" applyBorder="1"/>
    <xf numFmtId="164" fontId="0" fillId="0" borderId="0" xfId="1" applyNumberFormat="1" applyFont="1" applyBorder="1"/>
    <xf numFmtId="164" fontId="0" fillId="0" borderId="14" xfId="1" applyNumberFormat="1" applyFont="1" applyBorder="1" applyAlignment="1">
      <alignment horizontal="right"/>
    </xf>
    <xf numFmtId="164" fontId="0" fillId="0" borderId="0" xfId="1" applyNumberFormat="1" applyFont="1" applyBorder="1" applyAlignment="1">
      <alignment horizontal="right"/>
    </xf>
    <xf numFmtId="164" fontId="0" fillId="0" borderId="15" xfId="1" applyNumberFormat="1" applyFont="1" applyBorder="1" applyAlignment="1">
      <alignment horizontal="right"/>
    </xf>
    <xf numFmtId="164" fontId="0" fillId="0" borderId="8" xfId="1" applyNumberFormat="1" applyFont="1" applyBorder="1" applyAlignment="1">
      <alignment horizontal="right"/>
    </xf>
    <xf numFmtId="164" fontId="0" fillId="0" borderId="12" xfId="1" applyNumberFormat="1" applyFont="1" applyBorder="1" applyAlignment="1">
      <alignment horizontal="right"/>
    </xf>
    <xf numFmtId="164" fontId="3" fillId="0" borderId="14" xfId="1" applyNumberFormat="1" applyFont="1" applyBorder="1" applyAlignment="1">
      <alignment horizontal="left"/>
    </xf>
    <xf numFmtId="164" fontId="3" fillId="0" borderId="0" xfId="1" applyNumberFormat="1" applyFont="1" applyBorder="1" applyAlignment="1">
      <alignment horizontal="left"/>
    </xf>
    <xf numFmtId="164" fontId="3" fillId="0" borderId="7" xfId="1" applyNumberFormat="1" applyFont="1" applyBorder="1" applyAlignment="1">
      <alignment horizontal="left"/>
    </xf>
    <xf numFmtId="164" fontId="6" fillId="0" borderId="8" xfId="1" applyNumberFormat="1" applyFont="1" applyBorder="1"/>
    <xf numFmtId="164" fontId="6" fillId="0" borderId="7" xfId="1" applyNumberFormat="1" applyFont="1" applyBorder="1"/>
    <xf numFmtId="10" fontId="6" fillId="0" borderId="7" xfId="2" applyNumberFormat="1" applyFont="1" applyBorder="1"/>
    <xf numFmtId="43" fontId="6" fillId="0" borderId="7" xfId="1" applyNumberFormat="1" applyFont="1" applyBorder="1"/>
    <xf numFmtId="43" fontId="6" fillId="0" borderId="9" xfId="1" applyNumberFormat="1" applyFont="1" applyBorder="1"/>
    <xf numFmtId="164" fontId="3" fillId="0" borderId="14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9" fontId="3" fillId="0" borderId="0" xfId="1" applyNumberFormat="1" applyFont="1" applyBorder="1"/>
    <xf numFmtId="10" fontId="6" fillId="0" borderId="9" xfId="2" applyNumberFormat="1" applyFont="1" applyBorder="1"/>
  </cellXfs>
  <cellStyles count="3">
    <cellStyle name="Ezres" xfId="1" builtinId="3"/>
    <cellStyle name="Normál" xfId="0" builtinId="0"/>
    <cellStyle name="Százalék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DA8A-524B-4D23-9571-E256588471FE}">
  <dimension ref="B1:I42"/>
  <sheetViews>
    <sheetView workbookViewId="0"/>
  </sheetViews>
  <sheetFormatPr defaultRowHeight="15.75" x14ac:dyDescent="0.25"/>
  <cols>
    <col min="1" max="1" width="3.25" style="1" customWidth="1"/>
    <col min="2" max="2" width="40.5" style="1" bestFit="1" customWidth="1"/>
    <col min="3" max="3" width="11.375" style="1" bestFit="1" customWidth="1"/>
    <col min="4" max="4" width="9.625" style="1" bestFit="1" customWidth="1"/>
    <col min="5" max="5" width="11" style="1" bestFit="1" customWidth="1"/>
    <col min="6" max="6" width="10" style="1" bestFit="1" customWidth="1"/>
    <col min="7" max="16384" width="9" style="1"/>
  </cols>
  <sheetData>
    <row r="1" spans="2:7" ht="16.5" thickBot="1" x14ac:dyDescent="0.3"/>
    <row r="2" spans="2:7" ht="16.5" thickBot="1" x14ac:dyDescent="0.3">
      <c r="B2" s="4"/>
      <c r="C2" s="2" t="s">
        <v>0</v>
      </c>
      <c r="D2" s="2" t="s">
        <v>1</v>
      </c>
      <c r="E2" s="3" t="s">
        <v>2</v>
      </c>
    </row>
    <row r="3" spans="2:7" x14ac:dyDescent="0.25">
      <c r="B3" s="5" t="s">
        <v>3</v>
      </c>
      <c r="C3" s="8">
        <v>9000</v>
      </c>
      <c r="D3" s="8">
        <v>8000</v>
      </c>
      <c r="E3" s="9">
        <v>10000</v>
      </c>
    </row>
    <row r="4" spans="2:7" x14ac:dyDescent="0.25">
      <c r="B4" s="5" t="s">
        <v>4</v>
      </c>
      <c r="C4" s="8">
        <v>4</v>
      </c>
      <c r="D4" s="8">
        <v>3</v>
      </c>
      <c r="E4" s="9">
        <v>4</v>
      </c>
    </row>
    <row r="5" spans="2:7" x14ac:dyDescent="0.25">
      <c r="B5" s="5" t="s">
        <v>5</v>
      </c>
      <c r="C5" s="8">
        <v>700</v>
      </c>
      <c r="D5" s="8">
        <v>600</v>
      </c>
      <c r="E5" s="9">
        <v>700</v>
      </c>
    </row>
    <row r="6" spans="2:7" x14ac:dyDescent="0.25">
      <c r="B6" s="6" t="s">
        <v>6</v>
      </c>
      <c r="C6" s="8"/>
      <c r="D6" s="8"/>
      <c r="E6" s="9"/>
    </row>
    <row r="7" spans="2:7" x14ac:dyDescent="0.25">
      <c r="B7" s="5" t="s">
        <v>7</v>
      </c>
      <c r="C7" s="8">
        <v>2000</v>
      </c>
      <c r="D7" s="8">
        <v>1900</v>
      </c>
      <c r="E7" s="9">
        <v>1700</v>
      </c>
    </row>
    <row r="8" spans="2:7" x14ac:dyDescent="0.25">
      <c r="B8" s="5" t="s">
        <v>8</v>
      </c>
      <c r="C8" s="8">
        <v>1500</v>
      </c>
      <c r="D8" s="8">
        <v>1600</v>
      </c>
      <c r="E8" s="9">
        <v>2100</v>
      </c>
    </row>
    <row r="9" spans="2:7" x14ac:dyDescent="0.25">
      <c r="B9" s="5" t="s">
        <v>10</v>
      </c>
      <c r="C9" s="8" t="s">
        <v>11</v>
      </c>
      <c r="D9" s="8" t="s">
        <v>13</v>
      </c>
      <c r="E9" s="9" t="s">
        <v>15</v>
      </c>
    </row>
    <row r="10" spans="2:7" ht="16.5" thickBot="1" x14ac:dyDescent="0.3">
      <c r="B10" s="7" t="s">
        <v>9</v>
      </c>
      <c r="C10" s="10" t="s">
        <v>12</v>
      </c>
      <c r="D10" s="10" t="s">
        <v>14</v>
      </c>
      <c r="E10" s="11" t="s">
        <v>16</v>
      </c>
      <c r="G10" s="22"/>
    </row>
    <row r="11" spans="2:7" ht="16.5" thickBot="1" x14ac:dyDescent="0.3"/>
    <row r="12" spans="2:7" ht="16.5" thickBot="1" x14ac:dyDescent="0.3">
      <c r="B12" s="13"/>
      <c r="C12" s="12" t="s">
        <v>0</v>
      </c>
      <c r="D12" s="2" t="s">
        <v>1</v>
      </c>
      <c r="E12" s="3" t="s">
        <v>2</v>
      </c>
      <c r="F12" s="23" t="s">
        <v>17</v>
      </c>
    </row>
    <row r="13" spans="2:7" x14ac:dyDescent="0.25">
      <c r="B13" s="20" t="s">
        <v>29</v>
      </c>
      <c r="C13" s="14">
        <f>1000*1.1</f>
        <v>1100</v>
      </c>
      <c r="D13" s="14">
        <f>900*1.4</f>
        <v>1260</v>
      </c>
      <c r="E13" s="14">
        <f>800*1.2</f>
        <v>960</v>
      </c>
      <c r="F13" s="43">
        <f>SUM(C13:E13)</f>
        <v>3320</v>
      </c>
    </row>
    <row r="14" spans="2:7" x14ac:dyDescent="0.25">
      <c r="B14" s="18" t="s">
        <v>30</v>
      </c>
      <c r="C14" s="15">
        <f>500*0.8</f>
        <v>400</v>
      </c>
      <c r="D14" s="15">
        <f>700*0.9</f>
        <v>630</v>
      </c>
      <c r="E14" s="15">
        <f>600*0.7</f>
        <v>420</v>
      </c>
      <c r="F14" s="44">
        <f>SUM(C14:E14)</f>
        <v>1450</v>
      </c>
    </row>
    <row r="15" spans="2:7" x14ac:dyDescent="0.25">
      <c r="B15" s="18" t="s">
        <v>27</v>
      </c>
      <c r="C15" s="24">
        <f>SUM(C8,C13,C14) / (2000+1500+1000+500)</f>
        <v>0.6</v>
      </c>
      <c r="D15" s="24">
        <f>SUM(D8,D13,D14) / (1900 +1600 + 900 + 700)</f>
        <v>0.68431372549019609</v>
      </c>
      <c r="E15" s="24">
        <f>SUM(E8,E13,E14) / (1700 + 2100 + 800 + 600)</f>
        <v>0.66923076923076918</v>
      </c>
      <c r="F15" s="45">
        <f>(SUM(C8,C13,C14) + SUM(D8,D13,D14) + SUM(E8,E13,E14)) / ((2000+1500+1000+500) + (1900 +1600 + 900 + 700) + (1700 + 2100 + 800 + 600))</f>
        <v>0.65163398692810459</v>
      </c>
    </row>
    <row r="16" spans="2:7" ht="16.5" thickBot="1" x14ac:dyDescent="0.3">
      <c r="B16" s="19" t="s">
        <v>28</v>
      </c>
      <c r="C16" s="25">
        <f>(2000+1500+1000+500)*(1-C15)</f>
        <v>2000</v>
      </c>
      <c r="D16" s="25">
        <f>(1900+1600+900+700)*(1-D15)</f>
        <v>1610</v>
      </c>
      <c r="E16" s="25">
        <f>(1700+2100+800+600)*(1-E15)</f>
        <v>1720.0000000000002</v>
      </c>
      <c r="F16" s="46">
        <f>SUM(C16:E16)</f>
        <v>5330</v>
      </c>
    </row>
    <row r="17" spans="2:7" ht="16.5" thickBot="1" x14ac:dyDescent="0.3"/>
    <row r="18" spans="2:7" ht="16.5" thickBot="1" x14ac:dyDescent="0.3">
      <c r="B18" s="13"/>
      <c r="C18" s="2" t="s">
        <v>18</v>
      </c>
      <c r="D18" s="2" t="s">
        <v>19</v>
      </c>
      <c r="E18" s="2" t="s">
        <v>20</v>
      </c>
      <c r="F18" s="2" t="s">
        <v>21</v>
      </c>
      <c r="G18" s="3" t="s">
        <v>22</v>
      </c>
    </row>
    <row r="19" spans="2:7" x14ac:dyDescent="0.25">
      <c r="B19" s="18" t="s">
        <v>23</v>
      </c>
      <c r="C19" s="15">
        <f>(C3*C5+D3*D5+E3*E5) / 1000</f>
        <v>18100</v>
      </c>
      <c r="D19" s="41">
        <v>19125</v>
      </c>
      <c r="E19" s="41">
        <f>C19*1.1818</f>
        <v>21390.579999999998</v>
      </c>
      <c r="F19" s="15">
        <f>C19</f>
        <v>18100</v>
      </c>
      <c r="G19" s="16">
        <f>C19</f>
        <v>18100</v>
      </c>
    </row>
    <row r="20" spans="2:7" x14ac:dyDescent="0.25">
      <c r="B20" s="18" t="s">
        <v>31</v>
      </c>
      <c r="C20" s="15">
        <f>SUM(F13,F14,C8,D8,E8)</f>
        <v>9970</v>
      </c>
      <c r="D20" s="15">
        <f>C20</f>
        <v>9970</v>
      </c>
      <c r="E20" s="41">
        <f>C20*1.1818</f>
        <v>11782.546</v>
      </c>
      <c r="F20" s="41">
        <v>9150</v>
      </c>
      <c r="G20" s="16">
        <f>C20</f>
        <v>9970</v>
      </c>
    </row>
    <row r="21" spans="2:7" x14ac:dyDescent="0.25">
      <c r="B21" s="18" t="s">
        <v>26</v>
      </c>
      <c r="C21" s="15">
        <f>C19-C20</f>
        <v>8130</v>
      </c>
      <c r="D21" s="15">
        <f>D19-D20</f>
        <v>9155</v>
      </c>
      <c r="E21" s="15">
        <f>E19-E20</f>
        <v>9608.0339999999978</v>
      </c>
      <c r="F21" s="15">
        <f>F19-F20</f>
        <v>8950</v>
      </c>
      <c r="G21" s="16">
        <f>G19-G20</f>
        <v>8130</v>
      </c>
    </row>
    <row r="22" spans="2:7" x14ac:dyDescent="0.25">
      <c r="B22" s="18" t="s">
        <v>25</v>
      </c>
      <c r="C22" s="15">
        <f>F16</f>
        <v>5330</v>
      </c>
      <c r="D22" s="15">
        <f>C22</f>
        <v>5330</v>
      </c>
      <c r="E22" s="15">
        <f>C22</f>
        <v>5330</v>
      </c>
      <c r="F22" s="15">
        <v>5330</v>
      </c>
      <c r="G22" s="42">
        <v>4510</v>
      </c>
    </row>
    <row r="23" spans="2:7" x14ac:dyDescent="0.25">
      <c r="B23" s="18" t="s">
        <v>24</v>
      </c>
      <c r="C23" s="15">
        <f>C21-C22</f>
        <v>2800</v>
      </c>
      <c r="D23" s="15">
        <f>D21-D22</f>
        <v>3825</v>
      </c>
      <c r="E23" s="15">
        <f>E21-E22</f>
        <v>4278.0339999999978</v>
      </c>
      <c r="F23" s="15">
        <f>F21-F22</f>
        <v>3620</v>
      </c>
      <c r="G23" s="16">
        <f>G21-G22</f>
        <v>3620</v>
      </c>
    </row>
    <row r="24" spans="2:7" x14ac:dyDescent="0.25">
      <c r="B24" s="18" t="s">
        <v>32</v>
      </c>
      <c r="C24" s="15" t="s">
        <v>35</v>
      </c>
      <c r="D24" s="24">
        <f>(D19-C19) / C19</f>
        <v>5.6629834254143648E-2</v>
      </c>
      <c r="E24" s="24">
        <f>(E19-C19)/C19</f>
        <v>0.18179999999999991</v>
      </c>
      <c r="F24" s="24">
        <f>(F20-C20)/C20</f>
        <v>-8.2246740220661987E-2</v>
      </c>
      <c r="G24" s="28">
        <f>(G22-C22)/C22</f>
        <v>-0.15384615384615385</v>
      </c>
    </row>
    <row r="25" spans="2:7" ht="16.5" thickBot="1" x14ac:dyDescent="0.3">
      <c r="B25" s="19" t="s">
        <v>33</v>
      </c>
      <c r="C25" s="17" t="s">
        <v>35</v>
      </c>
      <c r="D25" s="21">
        <f>(D23-C23)/C23 / D24 / 100</f>
        <v>6.4642857142857141E-2</v>
      </c>
      <c r="E25" s="21">
        <f>(E23-C23)/C23/E24/100</f>
        <v>2.9035714285714258E-2</v>
      </c>
      <c r="F25" s="21">
        <f>ABS((F23-C23)/C23/F24/100)</f>
        <v>3.5607142857142858E-2</v>
      </c>
      <c r="G25" s="29">
        <f>ABS((G23-C23)/C23/G24/100)</f>
        <v>1.9035714285714284E-2</v>
      </c>
    </row>
    <row r="26" spans="2:7" ht="16.5" thickBot="1" x14ac:dyDescent="0.3"/>
    <row r="27" spans="2:7" x14ac:dyDescent="0.25">
      <c r="B27" s="30" t="s">
        <v>19</v>
      </c>
      <c r="D27" s="31" t="s">
        <v>43</v>
      </c>
      <c r="E27" s="32"/>
      <c r="F27" s="32"/>
      <c r="G27" s="33"/>
    </row>
    <row r="28" spans="2:7" x14ac:dyDescent="0.25">
      <c r="B28" s="5" t="s">
        <v>34</v>
      </c>
      <c r="D28" s="34" t="s">
        <v>44</v>
      </c>
      <c r="E28" s="35"/>
      <c r="F28" s="35"/>
      <c r="G28" s="36"/>
    </row>
    <row r="29" spans="2:7" x14ac:dyDescent="0.25">
      <c r="B29" s="5" t="s">
        <v>38</v>
      </c>
      <c r="D29" s="34" t="s">
        <v>38</v>
      </c>
      <c r="E29" s="35"/>
      <c r="F29" s="35"/>
      <c r="G29" s="36"/>
    </row>
    <row r="30" spans="2:7" x14ac:dyDescent="0.25">
      <c r="B30" s="5" t="s">
        <v>37</v>
      </c>
      <c r="D30" s="34" t="s">
        <v>47</v>
      </c>
      <c r="E30" s="35"/>
      <c r="F30" s="35"/>
      <c r="G30" s="36"/>
    </row>
    <row r="31" spans="2:7" x14ac:dyDescent="0.25">
      <c r="B31" s="5" t="s">
        <v>36</v>
      </c>
      <c r="D31" s="34" t="s">
        <v>45</v>
      </c>
      <c r="E31" s="35"/>
      <c r="F31" s="35"/>
      <c r="G31" s="36"/>
    </row>
    <row r="32" spans="2:7" ht="16.5" thickBot="1" x14ac:dyDescent="0.3">
      <c r="B32" s="7" t="s">
        <v>39</v>
      </c>
      <c r="D32" s="37" t="s">
        <v>48</v>
      </c>
      <c r="E32" s="38"/>
      <c r="F32" s="38"/>
      <c r="G32" s="39"/>
    </row>
    <row r="33" spans="2:9" ht="16.5" thickBot="1" x14ac:dyDescent="0.3">
      <c r="D33" s="27"/>
      <c r="E33" s="27"/>
      <c r="F33" s="27"/>
      <c r="G33" s="27"/>
    </row>
    <row r="34" spans="2:9" x14ac:dyDescent="0.25">
      <c r="B34" s="30" t="s">
        <v>20</v>
      </c>
      <c r="D34" s="31" t="s">
        <v>46</v>
      </c>
      <c r="E34" s="32"/>
      <c r="F34" s="32"/>
      <c r="G34" s="33"/>
    </row>
    <row r="35" spans="2:9" x14ac:dyDescent="0.25">
      <c r="B35" s="5" t="s">
        <v>40</v>
      </c>
      <c r="D35" s="34" t="s">
        <v>49</v>
      </c>
      <c r="E35" s="35"/>
      <c r="F35" s="35"/>
      <c r="G35" s="36"/>
    </row>
    <row r="36" spans="2:9" x14ac:dyDescent="0.25">
      <c r="B36" s="5" t="s">
        <v>41</v>
      </c>
      <c r="D36" s="34" t="s">
        <v>38</v>
      </c>
      <c r="E36" s="35"/>
      <c r="F36" s="35"/>
      <c r="G36" s="36"/>
    </row>
    <row r="37" spans="2:9" x14ac:dyDescent="0.25">
      <c r="B37" s="5" t="s">
        <v>38</v>
      </c>
      <c r="D37" s="34" t="s">
        <v>50</v>
      </c>
      <c r="E37" s="35"/>
      <c r="F37" s="35"/>
      <c r="G37" s="36"/>
    </row>
    <row r="38" spans="2:9" x14ac:dyDescent="0.25">
      <c r="B38" s="5" t="s">
        <v>51</v>
      </c>
      <c r="D38" s="34" t="s">
        <v>45</v>
      </c>
      <c r="E38" s="35"/>
      <c r="F38" s="35"/>
      <c r="G38" s="36"/>
    </row>
    <row r="39" spans="2:9" ht="16.5" thickBot="1" x14ac:dyDescent="0.3">
      <c r="B39" s="5" t="s">
        <v>36</v>
      </c>
      <c r="D39" s="37" t="s">
        <v>52</v>
      </c>
      <c r="E39" s="38"/>
      <c r="F39" s="38"/>
      <c r="G39" s="39"/>
    </row>
    <row r="40" spans="2:9" ht="16.5" thickBot="1" x14ac:dyDescent="0.3">
      <c r="B40" s="7" t="s">
        <v>42</v>
      </c>
      <c r="D40" s="26"/>
      <c r="E40" s="26"/>
      <c r="F40" s="26"/>
      <c r="G40" s="26"/>
    </row>
    <row r="42" spans="2:9" x14ac:dyDescent="0.25">
      <c r="B42" s="40" t="s">
        <v>53</v>
      </c>
      <c r="C42" s="40"/>
      <c r="D42" s="40"/>
      <c r="E42" s="40"/>
      <c r="F42" s="40"/>
      <c r="G42" s="40"/>
      <c r="H42" s="40"/>
      <c r="I42" s="40"/>
    </row>
  </sheetData>
  <mergeCells count="13">
    <mergeCell ref="B42:I42"/>
    <mergeCell ref="D32:G32"/>
    <mergeCell ref="D31:G31"/>
    <mergeCell ref="D30:G30"/>
    <mergeCell ref="D29:G29"/>
    <mergeCell ref="D28:G28"/>
    <mergeCell ref="D27:G27"/>
    <mergeCell ref="D38:G38"/>
    <mergeCell ref="D36:G36"/>
    <mergeCell ref="D37:G37"/>
    <mergeCell ref="D35:G35"/>
    <mergeCell ref="D34:G34"/>
    <mergeCell ref="D39:G39"/>
  </mergeCells>
  <pageMargins left="0.7" right="0.7" top="0.75" bottom="0.75" header="0.3" footer="0.3"/>
  <ignoredErrors>
    <ignoredError sqref="F15 C22 D21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C2C9-9A95-4EA2-8A64-D975BCA222CF}">
  <dimension ref="B1:H17"/>
  <sheetViews>
    <sheetView tabSelected="1" workbookViewId="0"/>
  </sheetViews>
  <sheetFormatPr defaultRowHeight="15.75" x14ac:dyDescent="0.25"/>
  <cols>
    <col min="1" max="1" width="3" style="1" customWidth="1"/>
    <col min="2" max="2" width="10.75" style="1" bestFit="1" customWidth="1"/>
    <col min="3" max="3" width="10.375" style="1" bestFit="1" customWidth="1"/>
    <col min="4" max="4" width="9" style="1"/>
    <col min="5" max="5" width="5" style="1" bestFit="1" customWidth="1"/>
    <col min="6" max="6" width="5.875" style="1" bestFit="1" customWidth="1"/>
    <col min="7" max="7" width="8.875" style="1" bestFit="1" customWidth="1"/>
    <col min="8" max="8" width="12.75" style="1" customWidth="1"/>
    <col min="9" max="16384" width="9" style="1"/>
  </cols>
  <sheetData>
    <row r="1" spans="2:8" ht="16.5" thickBot="1" x14ac:dyDescent="0.3"/>
    <row r="2" spans="2:8" ht="16.5" thickBot="1" x14ac:dyDescent="0.3">
      <c r="B2" s="50" t="s">
        <v>54</v>
      </c>
      <c r="C2" s="51"/>
      <c r="E2" s="54" t="s">
        <v>65</v>
      </c>
      <c r="F2" s="55"/>
      <c r="G2" s="55"/>
      <c r="H2" s="56"/>
    </row>
    <row r="3" spans="2:8" x14ac:dyDescent="0.25">
      <c r="B3" s="52" t="s">
        <v>55</v>
      </c>
      <c r="C3" s="48">
        <v>20000</v>
      </c>
      <c r="E3" s="57" t="s">
        <v>59</v>
      </c>
      <c r="F3" s="58">
        <f>C4/C3</f>
        <v>2</v>
      </c>
      <c r="G3" s="59"/>
      <c r="H3" s="60"/>
    </row>
    <row r="4" spans="2:8" x14ac:dyDescent="0.25">
      <c r="B4" s="52" t="s">
        <v>56</v>
      </c>
      <c r="C4" s="48">
        <v>40000</v>
      </c>
      <c r="E4" s="61" t="s">
        <v>60</v>
      </c>
      <c r="F4" s="62">
        <f>C5/C3</f>
        <v>1.25</v>
      </c>
      <c r="G4" s="63"/>
      <c r="H4" s="48"/>
    </row>
    <row r="5" spans="2:8" x14ac:dyDescent="0.25">
      <c r="B5" s="52" t="s">
        <v>57</v>
      </c>
      <c r="C5" s="48">
        <v>25000</v>
      </c>
      <c r="E5" s="47"/>
      <c r="F5" s="63"/>
      <c r="G5" s="63"/>
      <c r="H5" s="48"/>
    </row>
    <row r="6" spans="2:8" ht="16.5" thickBot="1" x14ac:dyDescent="0.3">
      <c r="B6" s="53" t="s">
        <v>58</v>
      </c>
      <c r="C6" s="49">
        <v>8000</v>
      </c>
      <c r="E6" s="64" t="s">
        <v>61</v>
      </c>
      <c r="F6" s="65"/>
      <c r="G6" s="65"/>
      <c r="H6" s="73">
        <f>C4-C5</f>
        <v>15000</v>
      </c>
    </row>
    <row r="7" spans="2:8" x14ac:dyDescent="0.25">
      <c r="E7" s="64" t="s">
        <v>62</v>
      </c>
      <c r="F7" s="65"/>
      <c r="G7" s="65"/>
      <c r="H7" s="74">
        <f>H6/C4</f>
        <v>0.375</v>
      </c>
    </row>
    <row r="8" spans="2:8" x14ac:dyDescent="0.25">
      <c r="E8" s="64" t="s">
        <v>63</v>
      </c>
      <c r="F8" s="65"/>
      <c r="G8" s="65"/>
      <c r="H8" s="75">
        <f>C6/(F3-F4)</f>
        <v>10666.666666666666</v>
      </c>
    </row>
    <row r="9" spans="2:8" ht="16.5" thickBot="1" x14ac:dyDescent="0.3">
      <c r="E9" s="66" t="s">
        <v>64</v>
      </c>
      <c r="F9" s="67"/>
      <c r="G9" s="67"/>
      <c r="H9" s="76">
        <f>C6/C3+F4</f>
        <v>1.65</v>
      </c>
    </row>
    <row r="10" spans="2:8" ht="16.5" thickBot="1" x14ac:dyDescent="0.3"/>
    <row r="11" spans="2:8" ht="16.5" thickBot="1" x14ac:dyDescent="0.3">
      <c r="B11" s="54" t="s">
        <v>66</v>
      </c>
      <c r="C11" s="55"/>
      <c r="D11" s="56"/>
      <c r="F11" s="54" t="s">
        <v>70</v>
      </c>
      <c r="G11" s="55"/>
      <c r="H11" s="56"/>
    </row>
    <row r="12" spans="2:8" x14ac:dyDescent="0.25">
      <c r="B12" s="68" t="s">
        <v>67</v>
      </c>
      <c r="C12" s="59">
        <v>10000</v>
      </c>
      <c r="D12" s="60"/>
      <c r="F12" s="68" t="s">
        <v>55</v>
      </c>
      <c r="G12" s="59">
        <v>250000</v>
      </c>
      <c r="H12" s="60"/>
    </row>
    <row r="13" spans="2:8" x14ac:dyDescent="0.25">
      <c r="B13" s="69" t="s">
        <v>68</v>
      </c>
      <c r="C13" s="70"/>
      <c r="D13" s="71"/>
      <c r="F13" s="69" t="s">
        <v>71</v>
      </c>
      <c r="G13" s="70"/>
      <c r="H13" s="71"/>
    </row>
    <row r="14" spans="2:8" x14ac:dyDescent="0.25">
      <c r="B14" s="69" t="s">
        <v>69</v>
      </c>
      <c r="C14" s="70"/>
      <c r="D14" s="71"/>
      <c r="F14" s="77" t="s">
        <v>72</v>
      </c>
      <c r="G14" s="78"/>
      <c r="H14" s="79"/>
    </row>
    <row r="15" spans="2:8" x14ac:dyDescent="0.25">
      <c r="B15" s="47"/>
      <c r="C15" s="63"/>
      <c r="D15" s="48"/>
      <c r="F15" s="47"/>
      <c r="G15" s="63"/>
      <c r="H15" s="48"/>
    </row>
    <row r="16" spans="2:8" ht="16.5" thickBot="1" x14ac:dyDescent="0.3">
      <c r="B16" s="53" t="s">
        <v>55</v>
      </c>
      <c r="C16" s="72">
        <f>(10000+C6)/(F3-F4)</f>
        <v>24000</v>
      </c>
      <c r="D16" s="49"/>
      <c r="F16" s="52" t="s">
        <v>59</v>
      </c>
      <c r="G16" s="80">
        <f>C6/G12+F4</f>
        <v>1.282</v>
      </c>
      <c r="H16" s="48"/>
    </row>
    <row r="17" spans="6:8" ht="16.5" thickBot="1" x14ac:dyDescent="0.3">
      <c r="F17" s="66" t="s">
        <v>73</v>
      </c>
      <c r="G17" s="67"/>
      <c r="H17" s="81">
        <f>(G16-F3)/F3</f>
        <v>-0.35899999999999999</v>
      </c>
    </row>
  </sheetData>
  <mergeCells count="13">
    <mergeCell ref="F17:G17"/>
    <mergeCell ref="B11:D11"/>
    <mergeCell ref="B13:D13"/>
    <mergeCell ref="B14:D14"/>
    <mergeCell ref="F11:H11"/>
    <mergeCell ref="F13:H13"/>
    <mergeCell ref="F14:H14"/>
    <mergeCell ref="B2:C2"/>
    <mergeCell ref="E9:G9"/>
    <mergeCell ref="E8:G8"/>
    <mergeCell ref="E7:G7"/>
    <mergeCell ref="E6:G6"/>
    <mergeCell ref="E2:H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1. Feladat</vt:lpstr>
      <vt:lpstr>2. Feladat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Czibulka</dc:creator>
  <cp:lastModifiedBy>Liza Czibulka</cp:lastModifiedBy>
  <dcterms:created xsi:type="dcterms:W3CDTF">2024-12-08T16:16:15Z</dcterms:created>
  <dcterms:modified xsi:type="dcterms:W3CDTF">2024-12-08T17:59:12Z</dcterms:modified>
</cp:coreProperties>
</file>