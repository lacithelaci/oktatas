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zliz\iCloudDrive\V. szemeszter\Kontrolling\"/>
    </mc:Choice>
  </mc:AlternateContent>
  <xr:revisionPtr revIDLastSave="0" documentId="13_ncr:1_{2A02DD67-DCB9-4D0F-8C32-1C1ABE4E10EE}" xr6:coauthVersionLast="47" xr6:coauthVersionMax="47" xr10:uidLastSave="{00000000-0000-0000-0000-000000000000}"/>
  <bookViews>
    <workbookView xWindow="1097" yWindow="1097" windowWidth="15950" windowHeight="8130" activeTab="4" xr2:uid="{8E10AFF9-7AA3-4120-8B9F-41BD75DEF627}"/>
  </bookViews>
  <sheets>
    <sheet name="1. Feladat" sheetId="5" r:id="rId1"/>
    <sheet name="2. Feladat" sheetId="1" r:id="rId2"/>
    <sheet name="3. Feladat" sheetId="2" r:id="rId3"/>
    <sheet name="4. Feladat" sheetId="3" r:id="rId4"/>
    <sheet name="5. Felada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6" l="1"/>
  <c r="H60" i="6"/>
  <c r="F60" i="6"/>
  <c r="H59" i="6"/>
  <c r="F59" i="6"/>
  <c r="H58" i="6"/>
  <c r="F58" i="6"/>
  <c r="H57" i="6"/>
  <c r="F57" i="6"/>
  <c r="H56" i="6"/>
  <c r="F56" i="6"/>
  <c r="H55" i="6"/>
  <c r="F55" i="6"/>
  <c r="H54" i="6"/>
  <c r="F54" i="6"/>
  <c r="H53" i="6"/>
  <c r="F53" i="6"/>
  <c r="H51" i="6"/>
  <c r="H50" i="6"/>
  <c r="F50" i="6"/>
  <c r="F51" i="6" s="1"/>
  <c r="J49" i="6"/>
  <c r="H48" i="6"/>
  <c r="J48" i="6"/>
  <c r="F48" i="6"/>
  <c r="H44" i="6"/>
  <c r="H42" i="6"/>
  <c r="F42" i="6"/>
  <c r="H39" i="6"/>
  <c r="F39" i="6"/>
  <c r="H38" i="6"/>
  <c r="F38" i="6"/>
  <c r="C58" i="6"/>
  <c r="C59" i="6" s="1"/>
  <c r="E22" i="6"/>
  <c r="G22" i="6"/>
  <c r="C22" i="6"/>
  <c r="E18" i="6" l="1"/>
  <c r="G18" i="6"/>
  <c r="C18" i="6"/>
  <c r="E17" i="6"/>
  <c r="G17" i="6"/>
  <c r="C17" i="6"/>
  <c r="E16" i="6"/>
  <c r="G16" i="6"/>
  <c r="C16" i="6"/>
  <c r="E13" i="6"/>
  <c r="G13" i="6"/>
  <c r="C13" i="6"/>
  <c r="I29" i="3"/>
  <c r="I20" i="3"/>
  <c r="I17" i="3"/>
  <c r="I24" i="3" s="1"/>
  <c r="I26" i="3" s="1"/>
  <c r="F23" i="3"/>
  <c r="C19" i="3"/>
  <c r="C22" i="3"/>
  <c r="C18" i="3"/>
  <c r="C17" i="3"/>
  <c r="C24" i="3"/>
  <c r="C25" i="3" s="1"/>
  <c r="F31" i="2"/>
  <c r="C26" i="2"/>
  <c r="C31" i="2"/>
  <c r="F22" i="2"/>
  <c r="C20" i="2"/>
  <c r="C19" i="2"/>
  <c r="C17" i="2"/>
  <c r="C18" i="2" s="1"/>
  <c r="H11" i="1"/>
  <c r="H5" i="1"/>
  <c r="H6" i="1"/>
  <c r="H7" i="1"/>
  <c r="H8" i="1"/>
  <c r="H9" i="1"/>
  <c r="H10" i="1"/>
  <c r="H4" i="1"/>
  <c r="G11" i="1"/>
  <c r="G5" i="1"/>
  <c r="G6" i="1"/>
  <c r="G7" i="1"/>
  <c r="G8" i="1"/>
  <c r="G9" i="1"/>
  <c r="G10" i="1"/>
  <c r="G4" i="1"/>
  <c r="F12" i="1"/>
  <c r="F10" i="1"/>
  <c r="F5" i="1"/>
  <c r="F6" i="1"/>
  <c r="F7" i="1"/>
  <c r="F8" i="1"/>
  <c r="F9" i="1"/>
  <c r="F4" i="1"/>
  <c r="E12" i="1"/>
  <c r="E5" i="1"/>
  <c r="E6" i="1"/>
  <c r="E7" i="1"/>
  <c r="E8" i="1"/>
  <c r="E9" i="1"/>
  <c r="E10" i="1"/>
  <c r="E4" i="1"/>
  <c r="D11" i="1"/>
  <c r="E11" i="1" s="1"/>
  <c r="C11" i="1"/>
  <c r="G27" i="6" l="1"/>
  <c r="G28" i="6" s="1"/>
  <c r="E27" i="6"/>
  <c r="I13" i="6"/>
  <c r="C27" i="6"/>
  <c r="E20" i="6"/>
  <c r="E23" i="6" s="1"/>
  <c r="E24" i="6" s="1"/>
  <c r="E29" i="6" s="1"/>
  <c r="C20" i="6"/>
  <c r="C23" i="6" s="1"/>
  <c r="C24" i="6" s="1"/>
  <c r="C29" i="6" s="1"/>
  <c r="G20" i="6"/>
  <c r="G23" i="6" s="1"/>
  <c r="G24" i="6" s="1"/>
  <c r="G29" i="6" s="1"/>
  <c r="C20" i="3"/>
  <c r="C21" i="3"/>
  <c r="C27" i="3" s="1"/>
  <c r="C23" i="2"/>
  <c r="F11" i="1"/>
  <c r="E28" i="6" l="1"/>
  <c r="F37" i="6"/>
  <c r="H37" i="6"/>
  <c r="G30" i="6"/>
  <c r="E30" i="6"/>
  <c r="I29" i="6"/>
  <c r="I27" i="6"/>
  <c r="C28" i="6"/>
  <c r="C26" i="3"/>
  <c r="C38" i="6" l="1"/>
  <c r="C68" i="6"/>
  <c r="C61" i="6"/>
  <c r="C48" i="6"/>
  <c r="C41" i="6"/>
  <c r="C39" i="6"/>
  <c r="C30" i="6"/>
  <c r="I30" i="6" s="1"/>
  <c r="I28" i="6"/>
  <c r="C70" i="6" l="1"/>
  <c r="C69" i="6"/>
  <c r="C43" i="6"/>
  <c r="C51" i="6"/>
  <c r="C49" i="6"/>
  <c r="B33" i="6"/>
  <c r="C63" i="6"/>
  <c r="C71" i="6" l="1"/>
  <c r="C73" i="6"/>
  <c r="C53" i="6"/>
  <c r="C75" i="6" l="1"/>
</calcChain>
</file>

<file path=xl/sharedStrings.xml><?xml version="1.0" encoding="utf-8"?>
<sst xmlns="http://schemas.openxmlformats.org/spreadsheetml/2006/main" count="249" uniqueCount="140">
  <si>
    <t>Megnevezés</t>
  </si>
  <si>
    <t>Megoszlási viszonyszám</t>
  </si>
  <si>
    <t>Anyagköltség</t>
  </si>
  <si>
    <t>Igénybevett szolgáltatás értéke</t>
  </si>
  <si>
    <t>Egyéb szolgáltatás értéke</t>
  </si>
  <si>
    <t>Bérköltség</t>
  </si>
  <si>
    <t>Személyi jellgű egyéb kifizetések</t>
  </si>
  <si>
    <t>Bérjárulékok</t>
  </si>
  <si>
    <t>Értékcsökkenési leírás</t>
  </si>
  <si>
    <t>Költségnemek összesen</t>
  </si>
  <si>
    <t>Termelési érték</t>
  </si>
  <si>
    <t>Abszolút eltérés      T-B</t>
  </si>
  <si>
    <t>Dinamikus viszonyszám T/B</t>
  </si>
  <si>
    <t>Bázisidőszak B</t>
  </si>
  <si>
    <t>Tárgyidőszak T</t>
  </si>
  <si>
    <t>B</t>
  </si>
  <si>
    <t>T</t>
  </si>
  <si>
    <t>FC</t>
  </si>
  <si>
    <t>Adatok</t>
  </si>
  <si>
    <t>a)</t>
  </si>
  <si>
    <t>v =</t>
  </si>
  <si>
    <t>p =</t>
  </si>
  <si>
    <t>VC =</t>
  </si>
  <si>
    <t>PROFIT =</t>
  </si>
  <si>
    <t>FED =</t>
  </si>
  <si>
    <t>S =</t>
  </si>
  <si>
    <t>v*Q</t>
  </si>
  <si>
    <t>p*Q</t>
  </si>
  <si>
    <t>S/Q</t>
  </si>
  <si>
    <t>VC/Q</t>
  </si>
  <si>
    <t>S-VC vagy (p-v)*Q</t>
  </si>
  <si>
    <t>FED-FC vagy S-VC-FC vagy (p-v)*Q-FC</t>
  </si>
  <si>
    <t>Q=</t>
  </si>
  <si>
    <t>Q =</t>
  </si>
  <si>
    <t>FC =</t>
  </si>
  <si>
    <t xml:space="preserve">v = </t>
  </si>
  <si>
    <t xml:space="preserve"> </t>
  </si>
  <si>
    <t>b)</t>
  </si>
  <si>
    <t>fedezeti pont</t>
  </si>
  <si>
    <t xml:space="preserve">FED=FC vagy (p-v)*Q=FC vagy </t>
  </si>
  <si>
    <t>0 = (p-v)*Q-FC</t>
  </si>
  <si>
    <t>c)</t>
  </si>
  <si>
    <t>d)</t>
  </si>
  <si>
    <t>PROFIT = (p-v)*Q-FC</t>
  </si>
  <si>
    <t>fedezeti ár =</t>
  </si>
  <si>
    <t>fedezeti pont =</t>
  </si>
  <si>
    <t>fedezeti hányad (FED/S) =</t>
  </si>
  <si>
    <t>fedezeti pont (mennyi a Q)</t>
  </si>
  <si>
    <t>12 000 = (p-v)*Q-FC</t>
  </si>
  <si>
    <t>Q1 =</t>
  </si>
  <si>
    <t xml:space="preserve">p2 = </t>
  </si>
  <si>
    <t>p1 =</t>
  </si>
  <si>
    <t>árengedmény: (p1-p)/p</t>
  </si>
  <si>
    <t>árengedmény =</t>
  </si>
  <si>
    <t>Q2 =</t>
  </si>
  <si>
    <t>12 000 = (p2-v)*Q2-FC</t>
  </si>
  <si>
    <t>új ár: 12 000 = (p1-v)*Q-FC</t>
  </si>
  <si>
    <t>Kiadás</t>
  </si>
  <si>
    <t>Költség</t>
  </si>
  <si>
    <t>Ráfordítás</t>
  </si>
  <si>
    <t>Gazdasági esemény</t>
  </si>
  <si>
    <t>h) Saját termelésű készletállomány növekedése</t>
  </si>
  <si>
    <t>i) Nyereséggel értékesített tárgyi eszköz bekerülési értéke</t>
  </si>
  <si>
    <t>m) Beruházási hitel törlesztése</t>
  </si>
  <si>
    <t>n) Számlavezetési díj kifizetése terhelési bankkivonat alapján</t>
  </si>
  <si>
    <t>a) Készpénzes árubeszerzés növekedése</t>
  </si>
  <si>
    <t>b) A gyártó gépek energiafogyasztása miatt kiszámlázott összeg</t>
  </si>
  <si>
    <t>c) Terven felüli értékcsökkenési leírás</t>
  </si>
  <si>
    <t>d) Kötvénykibocsátással kapcsolatosan elszámolt kamat</t>
  </si>
  <si>
    <t>e) ELÁBÉ növekedése</t>
  </si>
  <si>
    <t>f) Hiányzó késztermékek közvetlen önköltségen elszámolt értéke</t>
  </si>
  <si>
    <t>g) A felső vezetés elszámolt juttatásainak növekedése</t>
  </si>
  <si>
    <t>j) A szállító által kiszámlázott összeg</t>
  </si>
  <si>
    <t>k) Veszteséggel értékesített késztermék beszerzési értéke</t>
  </si>
  <si>
    <t>l) Az összeszerelő részlegben dolgozók bérének emelése</t>
  </si>
  <si>
    <t>o) Céltartalék képzése a jövőben képződő átszervezési költségekre</t>
  </si>
  <si>
    <t>X</t>
  </si>
  <si>
    <t>Normaóra szükséglet (óra/db)</t>
  </si>
  <si>
    <t>Listaár (Ft/db)</t>
  </si>
  <si>
    <t>C</t>
  </si>
  <si>
    <t>A</t>
  </si>
  <si>
    <t>Termelés és értékesítés mennyisége</t>
  </si>
  <si>
    <t>Proporcionális költség</t>
  </si>
  <si>
    <t>Progresszív költség (reagálási fok)</t>
  </si>
  <si>
    <t>Degresszív költség (reagálási fok)</t>
  </si>
  <si>
    <t>Fix költség (FC)</t>
  </si>
  <si>
    <t>Termelési költségek (ezer Ft)</t>
  </si>
  <si>
    <t>S = p * Q / 1 000</t>
  </si>
  <si>
    <t>Összesen</t>
  </si>
  <si>
    <t>Degresszív költség</t>
  </si>
  <si>
    <t>Progresszív költség</t>
  </si>
  <si>
    <t>FC (reagálási fok = 0)</t>
  </si>
  <si>
    <t>átlagos reagálási fok                      (redukált ktsg/összes ktsg)</t>
  </si>
  <si>
    <t>a volumen 1%-os növekedése a ktsg 1.067%-os növekedését idézi elő</t>
  </si>
  <si>
    <t>a volumen 1%-os növekedése a ktsg 1.080%-os növekedését idézi elő</t>
  </si>
  <si>
    <t>a volumen 1%-os növekedése a ktsg 1.081%-os növekedését idézi elő</t>
  </si>
  <si>
    <t>magyarázat</t>
  </si>
  <si>
    <t>FED = S-VC</t>
  </si>
  <si>
    <t>Proporcionális költség (reagálási fok = 1)</t>
  </si>
  <si>
    <t>VC = Prop + Prog + Degr</t>
  </si>
  <si>
    <t>PROFIT = FED-FC</t>
  </si>
  <si>
    <t>eredményhányad = PROFIT / S</t>
  </si>
  <si>
    <t>1. nő az ár (p)</t>
  </si>
  <si>
    <t>Az ár 12,55%-kal nő.</t>
  </si>
  <si>
    <t>Tényezőváltozás: (S-S0) / S0</t>
  </si>
  <si>
    <t>Nyereségérzékenységi szorzó: (PROFIT-PROFIT0 / PROFIT0) / Tényezőváltozás</t>
  </si>
  <si>
    <t>2. VC csökkentése</t>
  </si>
  <si>
    <t>Tényezőváltozás: (VC-VC0) / VC0</t>
  </si>
  <si>
    <t>A VC 14,36%-kal csökken.</t>
  </si>
  <si>
    <t>3. FC csökkentése</t>
  </si>
  <si>
    <t>(15 400-10 100-FC) / 15 400 = 0,25</t>
  </si>
  <si>
    <t>Tényezőváltozás: (FC-FC0) / FC0</t>
  </si>
  <si>
    <t>Az FC 50%-kal csökken.</t>
  </si>
  <si>
    <t>4. Q növelése</t>
  </si>
  <si>
    <t>(15 400-VC-2 900) / 15 400 = 0,25</t>
  </si>
  <si>
    <t>(S-10 100-2 900) / S = 0,25</t>
  </si>
  <si>
    <t>((15 400-10 100)*x-2 900) / 15 400*x = 0,25</t>
  </si>
  <si>
    <t>x =</t>
  </si>
  <si>
    <t>A Q 100%-kal nő.</t>
  </si>
  <si>
    <t>A legnagyobb nyereségérzékenységi szorzója abszolút értékben az első opciónak van, ezért azt választom.</t>
  </si>
  <si>
    <t>1. ügyfél</t>
  </si>
  <si>
    <t>2. ügyfél</t>
  </si>
  <si>
    <t xml:space="preserve">eredményhányad = </t>
  </si>
  <si>
    <t xml:space="preserve">Q = </t>
  </si>
  <si>
    <t>p =                                                     (Q0+Q*p - VC - FC)/Q0+Q*p = 0,2</t>
  </si>
  <si>
    <t>Nincs árengedmény</t>
  </si>
  <si>
    <t>Van árengedmény</t>
  </si>
  <si>
    <t>eredményhányad</t>
  </si>
  <si>
    <t>normaórák összesen</t>
  </si>
  <si>
    <t>teljesítmény (db)</t>
  </si>
  <si>
    <t>felszabadult normaóra</t>
  </si>
  <si>
    <t>eredményhányad =</t>
  </si>
  <si>
    <t>vállalati szintű eredményhányad =</t>
  </si>
  <si>
    <t>szorzó = Q/Q0</t>
  </si>
  <si>
    <t>árnövekedés</t>
  </si>
  <si>
    <t xml:space="preserve">FC (FC + 1500/2) = </t>
  </si>
  <si>
    <t>FED=FC vagy (p-v)*Q=FC</t>
  </si>
  <si>
    <t>redukált fix ktsg</t>
  </si>
  <si>
    <t>redukált fix ktsg (redukált ktsg*(1-átl.reag))</t>
  </si>
  <si>
    <t>összes ktsg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</si>
</sst>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2"/>
      <color theme="1"/>
      <name val="Times New Roman"/>
      <family val="2"/>
      <charset val="238"/>
    </font>
    <font>
      <sz val="12"/>
      <color theme="1"/>
      <name val="Times New Roman"/>
      <family val="2"/>
      <charset val="238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43" fontId="0" fillId="0" borderId="0" xfId="1" applyFont="1" applyBorder="1"/>
    <xf numFmtId="43" fontId="0" fillId="0" borderId="6" xfId="1" applyFont="1" applyBorder="1"/>
    <xf numFmtId="43" fontId="0" fillId="0" borderId="9" xfId="1" applyFont="1" applyBorder="1"/>
    <xf numFmtId="43" fontId="0" fillId="0" borderId="8" xfId="1" applyFont="1" applyBorder="1"/>
    <xf numFmtId="164" fontId="0" fillId="0" borderId="0" xfId="1" applyNumberFormat="1" applyFont="1" applyBorder="1"/>
    <xf numFmtId="164" fontId="0" fillId="0" borderId="8" xfId="1" applyNumberFormat="1" applyFont="1" applyBorder="1"/>
    <xf numFmtId="164" fontId="0" fillId="0" borderId="3" xfId="1" applyNumberFormat="1" applyFont="1" applyBorder="1"/>
    <xf numFmtId="43" fontId="0" fillId="0" borderId="4" xfId="1" applyFont="1" applyBorder="1"/>
    <xf numFmtId="10" fontId="0" fillId="0" borderId="0" xfId="2" applyNumberFormat="1" applyFont="1" applyBorder="1"/>
    <xf numFmtId="10" fontId="0" fillId="0" borderId="3" xfId="1" applyNumberFormat="1" applyFont="1" applyBorder="1"/>
    <xf numFmtId="10" fontId="0" fillId="0" borderId="8" xfId="2" applyNumberFormat="1" applyFont="1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6" xfId="2" applyNumberFormat="1" applyFont="1" applyBorder="1"/>
    <xf numFmtId="164" fontId="0" fillId="0" borderId="2" xfId="1" applyNumberFormat="1" applyFont="1" applyBorder="1"/>
    <xf numFmtId="10" fontId="0" fillId="0" borderId="4" xfId="1" applyNumberFormat="1" applyFont="1" applyBorder="1"/>
    <xf numFmtId="164" fontId="0" fillId="0" borderId="7" xfId="1" applyNumberFormat="1" applyFont="1" applyBorder="1"/>
    <xf numFmtId="43" fontId="0" fillId="0" borderId="0" xfId="1" applyFont="1"/>
    <xf numFmtId="43" fontId="0" fillId="0" borderId="5" xfId="1" applyFont="1" applyBorder="1"/>
    <xf numFmtId="43" fontId="0" fillId="0" borderId="2" xfId="1" applyFont="1" applyBorder="1" applyAlignment="1">
      <alignment horizontal="right"/>
    </xf>
    <xf numFmtId="43" fontId="0" fillId="0" borderId="5" xfId="1" applyFont="1" applyBorder="1" applyAlignment="1">
      <alignment horizontal="right"/>
    </xf>
    <xf numFmtId="43" fontId="0" fillId="0" borderId="7" xfId="1" applyFont="1" applyBorder="1" applyAlignment="1">
      <alignment horizontal="right"/>
    </xf>
    <xf numFmtId="43" fontId="0" fillId="2" borderId="2" xfId="1" applyFont="1" applyFill="1" applyBorder="1" applyAlignment="1">
      <alignment horizontal="right"/>
    </xf>
    <xf numFmtId="43" fontId="0" fillId="2" borderId="5" xfId="1" applyFont="1" applyFill="1" applyBorder="1" applyAlignment="1">
      <alignment horizontal="right"/>
    </xf>
    <xf numFmtId="43" fontId="0" fillId="2" borderId="7" xfId="1" applyFont="1" applyFill="1" applyBorder="1" applyAlignment="1">
      <alignment horizontal="right"/>
    </xf>
    <xf numFmtId="43" fontId="2" fillId="5" borderId="6" xfId="1" applyFont="1" applyFill="1" applyBorder="1"/>
    <xf numFmtId="43" fontId="0" fillId="0" borderId="0" xfId="1" applyFont="1" applyFill="1" applyBorder="1" applyAlignment="1"/>
    <xf numFmtId="43" fontId="2" fillId="5" borderId="9" xfId="1" applyFont="1" applyFill="1" applyBorder="1"/>
    <xf numFmtId="43" fontId="0" fillId="0" borderId="0" xfId="1" applyFont="1" applyBorder="1" applyAlignment="1">
      <alignment horizontal="right"/>
    </xf>
    <xf numFmtId="43" fontId="0" fillId="0" borderId="0" xfId="1" applyFont="1" applyFill="1" applyBorder="1" applyAlignment="1">
      <alignment horizontal="right"/>
    </xf>
    <xf numFmtId="43" fontId="0" fillId="0" borderId="0" xfId="1" applyFont="1" applyFill="1" applyBorder="1"/>
    <xf numFmtId="43" fontId="2" fillId="0" borderId="0" xfId="1" applyFont="1" applyFill="1" applyBorder="1"/>
    <xf numFmtId="43" fontId="0" fillId="0" borderId="5" xfId="1" applyFont="1" applyFill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43" fontId="0" fillId="0" borderId="5" xfId="1" applyFont="1" applyFill="1" applyBorder="1" applyAlignment="1">
      <alignment horizontal="right"/>
    </xf>
    <xf numFmtId="10" fontId="2" fillId="5" borderId="6" xfId="2" applyNumberFormat="1" applyFont="1" applyFill="1" applyBorder="1"/>
    <xf numFmtId="43" fontId="0" fillId="0" borderId="2" xfId="1" applyFont="1" applyFill="1" applyBorder="1" applyAlignment="1">
      <alignment horizontal="right"/>
    </xf>
    <xf numFmtId="43" fontId="0" fillId="0" borderId="4" xfId="1" applyFont="1" applyFill="1" applyBorder="1" applyAlignment="1">
      <alignment horizontal="center"/>
    </xf>
    <xf numFmtId="43" fontId="0" fillId="0" borderId="5" xfId="1" applyFont="1" applyBorder="1" applyAlignment="1"/>
    <xf numFmtId="43" fontId="0" fillId="0" borderId="6" xfId="1" applyFont="1" applyBorder="1" applyAlignment="1"/>
    <xf numFmtId="43" fontId="0" fillId="0" borderId="0" xfId="1" applyFont="1" applyBorder="1" applyAlignment="1"/>
    <xf numFmtId="43" fontId="2" fillId="5" borderId="9" xfId="1" applyFont="1" applyFill="1" applyBorder="1" applyAlignment="1">
      <alignment horizontal="center"/>
    </xf>
    <xf numFmtId="43" fontId="0" fillId="0" borderId="7" xfId="1" applyFont="1" applyFill="1" applyBorder="1" applyAlignment="1">
      <alignment horizontal="right"/>
    </xf>
    <xf numFmtId="10" fontId="2" fillId="5" borderId="6" xfId="2" applyNumberFormat="1" applyFont="1" applyFill="1" applyBorder="1" applyAlignment="1"/>
    <xf numFmtId="43" fontId="2" fillId="5" borderId="9" xfId="1" applyFont="1" applyFill="1" applyBorder="1" applyAlignment="1"/>
    <xf numFmtId="0" fontId="0" fillId="0" borderId="17" xfId="0" applyBorder="1"/>
    <xf numFmtId="0" fontId="0" fillId="0" borderId="16" xfId="0" applyBorder="1"/>
    <xf numFmtId="0" fontId="0" fillId="2" borderId="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2" fillId="0" borderId="1" xfId="0" applyFont="1" applyBorder="1"/>
    <xf numFmtId="0" fontId="2" fillId="2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0" borderId="1" xfId="1" applyNumberFormat="1" applyFont="1" applyBorder="1"/>
    <xf numFmtId="164" fontId="0" fillId="0" borderId="13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14" xfId="1" applyNumberFormat="1" applyFont="1" applyBorder="1"/>
    <xf numFmtId="164" fontId="2" fillId="0" borderId="10" xfId="1" applyNumberFormat="1" applyFont="1" applyBorder="1"/>
    <xf numFmtId="164" fontId="2" fillId="0" borderId="5" xfId="1" applyNumberFormat="1" applyFont="1" applyBorder="1"/>
    <xf numFmtId="0" fontId="0" fillId="0" borderId="6" xfId="1" applyNumberFormat="1" applyFont="1" applyBorder="1"/>
    <xf numFmtId="0" fontId="0" fillId="0" borderId="9" xfId="1" applyNumberFormat="1" applyFont="1" applyBorder="1"/>
    <xf numFmtId="164" fontId="3" fillId="0" borderId="1" xfId="1" applyNumberFormat="1" applyFont="1" applyBorder="1"/>
    <xf numFmtId="164" fontId="3" fillId="0" borderId="13" xfId="1" applyNumberFormat="1" applyFont="1" applyBorder="1"/>
    <xf numFmtId="164" fontId="3" fillId="0" borderId="13" xfId="1" applyNumberFormat="1" applyFont="1" applyBorder="1" applyAlignment="1">
      <alignment horizontal="left" vertical="center" wrapText="1"/>
    </xf>
    <xf numFmtId="164" fontId="3" fillId="0" borderId="14" xfId="1" applyNumberFormat="1" applyFont="1" applyBorder="1"/>
    <xf numFmtId="164" fontId="0" fillId="0" borderId="1" xfId="1" applyNumberFormat="1" applyFont="1" applyBorder="1"/>
    <xf numFmtId="164" fontId="0" fillId="0" borderId="15" xfId="1" applyNumberFormat="1" applyFont="1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right"/>
    </xf>
    <xf numFmtId="164" fontId="0" fillId="0" borderId="5" xfId="1" applyNumberFormat="1" applyFont="1" applyBorder="1" applyAlignment="1">
      <alignment wrapText="1"/>
    </xf>
    <xf numFmtId="10" fontId="2" fillId="3" borderId="6" xfId="2" applyNumberFormat="1" applyFont="1" applyFill="1" applyBorder="1"/>
    <xf numFmtId="2" fontId="0" fillId="0" borderId="6" xfId="2" applyNumberFormat="1" applyFont="1" applyBorder="1"/>
    <xf numFmtId="164" fontId="0" fillId="0" borderId="0" xfId="1" applyNumberFormat="1" applyFont="1" applyAlignment="1"/>
    <xf numFmtId="164" fontId="0" fillId="0" borderId="0" xfId="1" applyNumberFormat="1" applyFont="1" applyBorder="1" applyAlignment="1"/>
    <xf numFmtId="164" fontId="0" fillId="0" borderId="5" xfId="1" applyNumberFormat="1" applyFont="1" applyBorder="1" applyAlignment="1"/>
    <xf numFmtId="164" fontId="0" fillId="0" borderId="5" xfId="1" applyNumberFormat="1" applyFont="1" applyBorder="1" applyAlignment="1">
      <alignment horizontal="right" wrapText="1"/>
    </xf>
    <xf numFmtId="164" fontId="0" fillId="0" borderId="7" xfId="1" applyNumberFormat="1" applyFont="1" applyBorder="1" applyAlignment="1">
      <alignment horizontal="right" vertical="center"/>
    </xf>
    <xf numFmtId="164" fontId="0" fillId="0" borderId="9" xfId="1" applyNumberFormat="1" applyFont="1" applyBorder="1"/>
    <xf numFmtId="164" fontId="0" fillId="0" borderId="13" xfId="1" applyNumberFormat="1" applyFont="1" applyBorder="1" applyAlignment="1">
      <alignment horizontal="right"/>
    </xf>
    <xf numFmtId="164" fontId="0" fillId="0" borderId="14" xfId="1" applyNumberFormat="1" applyFont="1" applyBorder="1" applyAlignment="1">
      <alignment horizontal="right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3" fontId="0" fillId="4" borderId="10" xfId="1" applyFont="1" applyFill="1" applyBorder="1" applyAlignment="1">
      <alignment horizontal="center"/>
    </xf>
    <xf numFmtId="43" fontId="0" fillId="4" borderId="12" xfId="1" applyFont="1" applyFill="1" applyBorder="1" applyAlignment="1">
      <alignment horizontal="center"/>
    </xf>
    <xf numFmtId="43" fontId="0" fillId="0" borderId="0" xfId="1" applyFont="1" applyBorder="1" applyAlignment="1">
      <alignment horizontal="left"/>
    </xf>
    <xf numFmtId="43" fontId="0" fillId="0" borderId="6" xfId="1" applyFont="1" applyBorder="1" applyAlignment="1">
      <alignment horizontal="left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43" fontId="0" fillId="0" borderId="8" xfId="1" applyFont="1" applyBorder="1" applyAlignment="1">
      <alignment horizontal="left"/>
    </xf>
    <xf numFmtId="43" fontId="0" fillId="0" borderId="9" xfId="1" applyFont="1" applyBorder="1" applyAlignment="1">
      <alignment horizontal="left"/>
    </xf>
    <xf numFmtId="43" fontId="0" fillId="0" borderId="3" xfId="1" applyFon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Fill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164" fontId="0" fillId="4" borderId="10" xfId="1" applyNumberFormat="1" applyFont="1" applyFill="1" applyBorder="1" applyAlignment="1">
      <alignment horizontal="center"/>
    </xf>
    <xf numFmtId="164" fontId="0" fillId="4" borderId="11" xfId="1" applyNumberFormat="1" applyFont="1" applyFill="1" applyBorder="1" applyAlignment="1">
      <alignment horizontal="center"/>
    </xf>
    <xf numFmtId="164" fontId="0" fillId="4" borderId="12" xfId="1" applyNumberFormat="1" applyFon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0" fontId="2" fillId="6" borderId="8" xfId="2" applyNumberFormat="1" applyFont="1" applyFill="1" applyBorder="1" applyAlignment="1">
      <alignment horizontal="center"/>
    </xf>
    <xf numFmtId="10" fontId="0" fillId="0" borderId="0" xfId="2" applyNumberFormat="1" applyFont="1" applyBorder="1" applyAlignment="1">
      <alignment horizontal="right"/>
    </xf>
    <xf numFmtId="164" fontId="2" fillId="0" borderId="11" xfId="1" applyNumberFormat="1" applyFont="1" applyBorder="1" applyAlignment="1">
      <alignment horizontal="center"/>
    </xf>
    <xf numFmtId="164" fontId="2" fillId="0" borderId="12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0" fontId="0" fillId="0" borderId="6" xfId="2" applyNumberFormat="1" applyFont="1" applyBorder="1" applyAlignment="1">
      <alignment horizontal="right"/>
    </xf>
    <xf numFmtId="2" fontId="0" fillId="0" borderId="8" xfId="2" applyNumberFormat="1" applyFont="1" applyBorder="1" applyAlignment="1">
      <alignment horizontal="center" vertical="center"/>
    </xf>
    <xf numFmtId="10" fontId="2" fillId="6" borderId="8" xfId="2" applyNumberFormat="1" applyFont="1" applyFill="1" applyBorder="1" applyAlignment="1">
      <alignment horizontal="right"/>
    </xf>
    <xf numFmtId="10" fontId="2" fillId="6" borderId="9" xfId="2" applyNumberFormat="1" applyFont="1" applyFill="1" applyBorder="1" applyAlignment="1">
      <alignment horizontal="right"/>
    </xf>
    <xf numFmtId="164" fontId="0" fillId="0" borderId="0" xfId="1" applyNumberFormat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/>
    </xf>
    <xf numFmtId="164" fontId="0" fillId="2" borderId="6" xfId="1" applyNumberFormat="1" applyFont="1" applyFill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3" fillId="0" borderId="0" xfId="2" applyNumberFormat="1" applyFont="1" applyBorder="1" applyAlignment="1">
      <alignment horizontal="right"/>
    </xf>
    <xf numFmtId="164" fontId="3" fillId="0" borderId="0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 vertical="center" wrapText="1"/>
    </xf>
    <xf numFmtId="10" fontId="3" fillId="0" borderId="0" xfId="2" applyNumberFormat="1" applyFont="1" applyBorder="1" applyAlignment="1">
      <alignment horizontal="right" vertical="center"/>
    </xf>
    <xf numFmtId="1" fontId="3" fillId="0" borderId="0" xfId="1" applyNumberFormat="1" applyFont="1" applyBorder="1" applyAlignment="1">
      <alignment horizontal="right"/>
    </xf>
    <xf numFmtId="164" fontId="0" fillId="0" borderId="8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2" borderId="5" xfId="1" applyNumberFormat="1" applyFont="1" applyFill="1" applyBorder="1" applyAlignment="1">
      <alignment horizontal="center"/>
    </xf>
    <xf numFmtId="164" fontId="2" fillId="6" borderId="7" xfId="1" applyNumberFormat="1" applyFont="1" applyFill="1" applyBorder="1" applyAlignment="1">
      <alignment horizontal="left" wrapText="1"/>
    </xf>
    <xf numFmtId="164" fontId="2" fillId="6" borderId="9" xfId="1" applyNumberFormat="1" applyFont="1" applyFill="1" applyBorder="1" applyAlignment="1">
      <alignment horizontal="left" wrapText="1"/>
    </xf>
    <xf numFmtId="164" fontId="0" fillId="4" borderId="2" xfId="1" applyNumberFormat="1" applyFont="1" applyFill="1" applyBorder="1" applyAlignment="1">
      <alignment horizontal="center"/>
    </xf>
    <xf numFmtId="164" fontId="0" fillId="4" borderId="4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center"/>
    </xf>
  </cellXfs>
  <cellStyles count="3">
    <cellStyle name="Ezres" xfId="1" builtinId="3"/>
    <cellStyle name="Normál" xfId="0" builtinId="0"/>
    <cellStyle name="Százalék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56AA-8200-4FB4-84AA-8A8D161BC7F7}">
  <dimension ref="B1:E17"/>
  <sheetViews>
    <sheetView zoomScaleNormal="100" workbookViewId="0"/>
  </sheetViews>
  <sheetFormatPr defaultRowHeight="15.55" x14ac:dyDescent="0.3"/>
  <cols>
    <col min="1" max="1" width="3.453125" customWidth="1"/>
    <col min="2" max="2" width="56" bestFit="1" customWidth="1"/>
    <col min="3" max="3" width="7.08984375" bestFit="1" customWidth="1"/>
    <col min="4" max="4" width="7.6328125" bestFit="1" customWidth="1"/>
    <col min="5" max="5" width="10.08984375" bestFit="1" customWidth="1"/>
  </cols>
  <sheetData>
    <row r="1" spans="2:5" ht="16.100000000000001" thickBot="1" x14ac:dyDescent="0.35"/>
    <row r="2" spans="2:5" ht="16.100000000000001" thickBot="1" x14ac:dyDescent="0.35">
      <c r="B2" s="60" t="s">
        <v>60</v>
      </c>
      <c r="C2" s="61" t="s">
        <v>57</v>
      </c>
      <c r="D2" s="62" t="s">
        <v>58</v>
      </c>
      <c r="E2" s="63" t="s">
        <v>59</v>
      </c>
    </row>
    <row r="3" spans="2:5" x14ac:dyDescent="0.3">
      <c r="B3" s="3" t="s">
        <v>65</v>
      </c>
      <c r="C3" s="51" t="s">
        <v>76</v>
      </c>
      <c r="D3" s="54"/>
      <c r="E3" s="57"/>
    </row>
    <row r="4" spans="2:5" x14ac:dyDescent="0.3">
      <c r="B4" s="49" t="s">
        <v>66</v>
      </c>
      <c r="C4" s="52"/>
      <c r="D4" s="55" t="s">
        <v>76</v>
      </c>
      <c r="E4" s="58"/>
    </row>
    <row r="5" spans="2:5" x14ac:dyDescent="0.3">
      <c r="B5" s="49" t="s">
        <v>67</v>
      </c>
      <c r="C5" s="52"/>
      <c r="D5" s="55"/>
      <c r="E5" s="58" t="s">
        <v>76</v>
      </c>
    </row>
    <row r="6" spans="2:5" x14ac:dyDescent="0.3">
      <c r="B6" s="49" t="s">
        <v>68</v>
      </c>
      <c r="C6" s="52" t="s">
        <v>76</v>
      </c>
      <c r="D6" s="55"/>
      <c r="E6" s="58" t="s">
        <v>76</v>
      </c>
    </row>
    <row r="7" spans="2:5" x14ac:dyDescent="0.3">
      <c r="B7" s="49" t="s">
        <v>69</v>
      </c>
      <c r="C7" s="52"/>
      <c r="D7" s="55"/>
      <c r="E7" s="58" t="s">
        <v>76</v>
      </c>
    </row>
    <row r="8" spans="2:5" x14ac:dyDescent="0.3">
      <c r="B8" s="49" t="s">
        <v>70</v>
      </c>
      <c r="C8" s="52"/>
      <c r="D8" s="55"/>
      <c r="E8" s="58" t="s">
        <v>76</v>
      </c>
    </row>
    <row r="9" spans="2:5" x14ac:dyDescent="0.3">
      <c r="B9" s="49" t="s">
        <v>71</v>
      </c>
      <c r="C9" s="52"/>
      <c r="D9" s="55" t="s">
        <v>76</v>
      </c>
      <c r="E9" s="58" t="s">
        <v>76</v>
      </c>
    </row>
    <row r="10" spans="2:5" x14ac:dyDescent="0.3">
      <c r="B10" s="49" t="s">
        <v>61</v>
      </c>
      <c r="C10" s="52"/>
      <c r="D10" s="55"/>
      <c r="E10" s="58"/>
    </row>
    <row r="11" spans="2:5" x14ac:dyDescent="0.3">
      <c r="B11" s="49" t="s">
        <v>62</v>
      </c>
      <c r="C11" s="52"/>
      <c r="D11" s="55"/>
      <c r="E11" s="58" t="s">
        <v>76</v>
      </c>
    </row>
    <row r="12" spans="2:5" x14ac:dyDescent="0.3">
      <c r="B12" s="49" t="s">
        <v>72</v>
      </c>
      <c r="C12" s="52"/>
      <c r="D12" s="55"/>
      <c r="E12" s="58"/>
    </row>
    <row r="13" spans="2:5" x14ac:dyDescent="0.3">
      <c r="B13" s="49" t="s">
        <v>73</v>
      </c>
      <c r="C13" s="52"/>
      <c r="D13" s="55" t="s">
        <v>76</v>
      </c>
      <c r="E13" s="58" t="s">
        <v>76</v>
      </c>
    </row>
    <row r="14" spans="2:5" x14ac:dyDescent="0.3">
      <c r="B14" s="49" t="s">
        <v>74</v>
      </c>
      <c r="C14" s="52"/>
      <c r="D14" s="55" t="s">
        <v>76</v>
      </c>
      <c r="E14" s="58" t="s">
        <v>76</v>
      </c>
    </row>
    <row r="15" spans="2:5" x14ac:dyDescent="0.3">
      <c r="B15" s="49" t="s">
        <v>63</v>
      </c>
      <c r="C15" s="52" t="s">
        <v>76</v>
      </c>
      <c r="D15" s="55"/>
      <c r="E15" s="58"/>
    </row>
    <row r="16" spans="2:5" x14ac:dyDescent="0.3">
      <c r="B16" s="49" t="s">
        <v>64</v>
      </c>
      <c r="C16" s="52" t="s">
        <v>76</v>
      </c>
      <c r="D16" s="55"/>
      <c r="E16" s="58" t="s">
        <v>76</v>
      </c>
    </row>
    <row r="17" spans="2:5" ht="16.100000000000001" thickBot="1" x14ac:dyDescent="0.35">
      <c r="B17" s="50" t="s">
        <v>75</v>
      </c>
      <c r="C17" s="53"/>
      <c r="D17" s="56"/>
      <c r="E17" s="5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41B1-5412-470C-9FC7-D7EA0AF83A37}">
  <dimension ref="B1:H12"/>
  <sheetViews>
    <sheetView workbookViewId="0"/>
  </sheetViews>
  <sheetFormatPr defaultRowHeight="15.55" x14ac:dyDescent="0.3"/>
  <cols>
    <col min="1" max="1" width="3" customWidth="1"/>
    <col min="2" max="2" width="25.7265625" bestFit="1" customWidth="1"/>
    <col min="3" max="3" width="10.6328125" bestFit="1" customWidth="1"/>
    <col min="4" max="4" width="11" bestFit="1" customWidth="1"/>
    <col min="5" max="5" width="14.26953125" customWidth="1"/>
    <col min="6" max="6" width="19.36328125" customWidth="1"/>
    <col min="7" max="7" width="11.453125" customWidth="1"/>
    <col min="8" max="8" width="10.453125" customWidth="1"/>
  </cols>
  <sheetData>
    <row r="1" spans="2:8" ht="16.100000000000001" thickBot="1" x14ac:dyDescent="0.35"/>
    <row r="2" spans="2:8" ht="31.6" customHeight="1" x14ac:dyDescent="0.3">
      <c r="B2" s="96" t="s">
        <v>0</v>
      </c>
      <c r="C2" s="93" t="s">
        <v>13</v>
      </c>
      <c r="D2" s="93" t="s">
        <v>14</v>
      </c>
      <c r="E2" s="93" t="s">
        <v>11</v>
      </c>
      <c r="F2" s="93" t="s">
        <v>12</v>
      </c>
      <c r="G2" s="93" t="s">
        <v>1</v>
      </c>
      <c r="H2" s="94"/>
    </row>
    <row r="3" spans="2:8" ht="16.100000000000001" thickBot="1" x14ac:dyDescent="0.35">
      <c r="B3" s="97"/>
      <c r="C3" s="95"/>
      <c r="D3" s="95"/>
      <c r="E3" s="95"/>
      <c r="F3" s="95"/>
      <c r="G3" s="15" t="s">
        <v>15</v>
      </c>
      <c r="H3" s="16" t="s">
        <v>16</v>
      </c>
    </row>
    <row r="4" spans="2:8" x14ac:dyDescent="0.3">
      <c r="B4" s="1" t="s">
        <v>2</v>
      </c>
      <c r="C4" s="8">
        <v>2440</v>
      </c>
      <c r="D4" s="8">
        <v>2700</v>
      </c>
      <c r="E4" s="8">
        <f>D4-C4</f>
        <v>260</v>
      </c>
      <c r="F4" s="12">
        <f>D4/C4</f>
        <v>1.1065573770491803</v>
      </c>
      <c r="G4" s="12">
        <f>C4/$C$11</f>
        <v>0.29075309818875117</v>
      </c>
      <c r="H4" s="17">
        <f>D4/$D$11</f>
        <v>0.28535193405199749</v>
      </c>
    </row>
    <row r="5" spans="2:8" x14ac:dyDescent="0.3">
      <c r="B5" s="1" t="s">
        <v>3</v>
      </c>
      <c r="C5" s="8">
        <v>1320</v>
      </c>
      <c r="D5" s="8">
        <v>1540</v>
      </c>
      <c r="E5" s="8">
        <f t="shared" ref="E5:E11" si="0">D5-C5</f>
        <v>220</v>
      </c>
      <c r="F5" s="12">
        <f t="shared" ref="F5:F9" si="1">D5/C5</f>
        <v>1.1666666666666667</v>
      </c>
      <c r="G5" s="12">
        <f t="shared" ref="G5:G10" si="2">C5/$C$11</f>
        <v>0.1572926596758818</v>
      </c>
      <c r="H5" s="17">
        <f t="shared" ref="H5:H10" si="3">D5/$D$11</f>
        <v>0.16275628831113931</v>
      </c>
    </row>
    <row r="6" spans="2:8" x14ac:dyDescent="0.3">
      <c r="B6" s="1" t="s">
        <v>4</v>
      </c>
      <c r="C6" s="8">
        <v>232</v>
      </c>
      <c r="D6" s="8">
        <v>250</v>
      </c>
      <c r="E6" s="8">
        <f t="shared" si="0"/>
        <v>18</v>
      </c>
      <c r="F6" s="12">
        <f t="shared" si="1"/>
        <v>1.0775862068965518</v>
      </c>
      <c r="G6" s="12">
        <f t="shared" si="2"/>
        <v>2.7645376549094377E-2</v>
      </c>
      <c r="H6" s="17">
        <f t="shared" si="3"/>
        <v>2.6421475375184949E-2</v>
      </c>
    </row>
    <row r="7" spans="2:8" x14ac:dyDescent="0.3">
      <c r="B7" s="1" t="s">
        <v>5</v>
      </c>
      <c r="C7" s="8">
        <v>1980</v>
      </c>
      <c r="D7" s="8">
        <v>2420</v>
      </c>
      <c r="E7" s="8">
        <f t="shared" si="0"/>
        <v>440</v>
      </c>
      <c r="F7" s="12">
        <f t="shared" si="1"/>
        <v>1.2222222222222223</v>
      </c>
      <c r="G7" s="12">
        <f t="shared" si="2"/>
        <v>0.23593898951382269</v>
      </c>
      <c r="H7" s="17">
        <f t="shared" si="3"/>
        <v>0.25575988163179031</v>
      </c>
    </row>
    <row r="8" spans="2:8" x14ac:dyDescent="0.3">
      <c r="B8" s="1" t="s">
        <v>6</v>
      </c>
      <c r="C8" s="8">
        <v>1100</v>
      </c>
      <c r="D8" s="8">
        <v>1120</v>
      </c>
      <c r="E8" s="8">
        <f t="shared" si="0"/>
        <v>20</v>
      </c>
      <c r="F8" s="12">
        <f t="shared" si="1"/>
        <v>1.0181818181818181</v>
      </c>
      <c r="G8" s="12">
        <f t="shared" si="2"/>
        <v>0.13107721639656816</v>
      </c>
      <c r="H8" s="17">
        <f t="shared" si="3"/>
        <v>0.11836820968082858</v>
      </c>
    </row>
    <row r="9" spans="2:8" x14ac:dyDescent="0.3">
      <c r="B9" s="1" t="s">
        <v>7</v>
      </c>
      <c r="C9" s="8">
        <v>820</v>
      </c>
      <c r="D9" s="8">
        <v>992</v>
      </c>
      <c r="E9" s="8">
        <f t="shared" si="0"/>
        <v>172</v>
      </c>
      <c r="F9" s="12">
        <f t="shared" si="1"/>
        <v>1.2097560975609756</v>
      </c>
      <c r="G9" s="12">
        <f t="shared" si="2"/>
        <v>9.7712106768350807E-2</v>
      </c>
      <c r="H9" s="17">
        <f t="shared" si="3"/>
        <v>0.10484041428873388</v>
      </c>
    </row>
    <row r="10" spans="2:8" ht="16.100000000000001" thickBot="1" x14ac:dyDescent="0.35">
      <c r="B10" s="1" t="s">
        <v>8</v>
      </c>
      <c r="C10" s="8">
        <v>500</v>
      </c>
      <c r="D10" s="8">
        <v>440</v>
      </c>
      <c r="E10" s="8">
        <f t="shared" si="0"/>
        <v>-60</v>
      </c>
      <c r="F10" s="12">
        <f>D10/C10</f>
        <v>0.88</v>
      </c>
      <c r="G10" s="12">
        <f t="shared" si="2"/>
        <v>5.9580552907530983E-2</v>
      </c>
      <c r="H10" s="17">
        <f t="shared" si="3"/>
        <v>4.6501796660325515E-2</v>
      </c>
    </row>
    <row r="11" spans="2:8" x14ac:dyDescent="0.3">
      <c r="B11" s="3" t="s">
        <v>9</v>
      </c>
      <c r="C11" s="18">
        <f>SUM(C4:C10)</f>
        <v>8392</v>
      </c>
      <c r="D11" s="10">
        <f>SUM(D4:D10)</f>
        <v>9462</v>
      </c>
      <c r="E11" s="10">
        <f t="shared" si="0"/>
        <v>1070</v>
      </c>
      <c r="F11" s="13">
        <f>D11/C11</f>
        <v>1.1275023832221163</v>
      </c>
      <c r="G11" s="13">
        <f>SUM(G4:G10)</f>
        <v>0.99999999999999989</v>
      </c>
      <c r="H11" s="19">
        <f>SUM(H4:H10)</f>
        <v>1.0000000000000002</v>
      </c>
    </row>
    <row r="12" spans="2:8" ht="16.100000000000001" thickBot="1" x14ac:dyDescent="0.35">
      <c r="B12" s="2" t="s">
        <v>10</v>
      </c>
      <c r="C12" s="20">
        <v>18600</v>
      </c>
      <c r="D12" s="9">
        <v>20400</v>
      </c>
      <c r="E12" s="9">
        <f>D12-C12</f>
        <v>1800</v>
      </c>
      <c r="F12" s="14">
        <f>D12/C12</f>
        <v>1.096774193548387</v>
      </c>
      <c r="G12" s="7"/>
      <c r="H12" s="6"/>
    </row>
  </sheetData>
  <mergeCells count="6">
    <mergeCell ref="G2:H2"/>
    <mergeCell ref="F2:F3"/>
    <mergeCell ref="B2:B3"/>
    <mergeCell ref="E2:E3"/>
    <mergeCell ref="D2:D3"/>
    <mergeCell ref="C2:C3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9F5B-4733-4141-957E-4157BDB43F7B}">
  <dimension ref="A1:F31"/>
  <sheetViews>
    <sheetView workbookViewId="0"/>
  </sheetViews>
  <sheetFormatPr defaultColWidth="9" defaultRowHeight="15.55" x14ac:dyDescent="0.3"/>
  <cols>
    <col min="1" max="1" width="2.90625" style="21" customWidth="1"/>
    <col min="2" max="2" width="12" style="21" bestFit="1" customWidth="1"/>
    <col min="3" max="3" width="11.36328125" style="21" bestFit="1" customWidth="1"/>
    <col min="4" max="4" width="5.6328125" style="21" customWidth="1"/>
    <col min="5" max="5" width="18.36328125" style="21" customWidth="1"/>
    <col min="6" max="6" width="10.7265625" style="21" customWidth="1"/>
    <col min="7" max="16384" width="9" style="21"/>
  </cols>
  <sheetData>
    <row r="1" spans="2:6" ht="16.100000000000001" thickBot="1" x14ac:dyDescent="0.35"/>
    <row r="2" spans="2:6" ht="16.100000000000001" thickBot="1" x14ac:dyDescent="0.35">
      <c r="B2" s="98" t="s">
        <v>18</v>
      </c>
      <c r="C2" s="99"/>
    </row>
    <row r="3" spans="2:6" x14ac:dyDescent="0.3">
      <c r="B3" s="27" t="s">
        <v>33</v>
      </c>
      <c r="C3" s="5">
        <v>12000</v>
      </c>
    </row>
    <row r="4" spans="2:6" x14ac:dyDescent="0.3">
      <c r="B4" s="27" t="s">
        <v>22</v>
      </c>
      <c r="C4" s="5">
        <v>90000</v>
      </c>
    </row>
    <row r="5" spans="2:6" x14ac:dyDescent="0.3">
      <c r="B5" s="27" t="s">
        <v>34</v>
      </c>
      <c r="C5" s="5">
        <v>30000</v>
      </c>
    </row>
    <row r="6" spans="2:6" ht="16.100000000000001" thickBot="1" x14ac:dyDescent="0.35">
      <c r="B6" s="28" t="s">
        <v>25</v>
      </c>
      <c r="C6" s="6">
        <v>132000</v>
      </c>
    </row>
    <row r="7" spans="2:6" ht="16.100000000000001" thickBot="1" x14ac:dyDescent="0.35"/>
    <row r="8" spans="2:6" x14ac:dyDescent="0.3">
      <c r="B8" s="26" t="s">
        <v>25</v>
      </c>
      <c r="C8" s="106" t="s">
        <v>27</v>
      </c>
      <c r="D8" s="106"/>
      <c r="E8" s="107"/>
    </row>
    <row r="9" spans="2:6" x14ac:dyDescent="0.3">
      <c r="B9" s="27" t="s">
        <v>24</v>
      </c>
      <c r="C9" s="100" t="s">
        <v>30</v>
      </c>
      <c r="D9" s="100"/>
      <c r="E9" s="101"/>
    </row>
    <row r="10" spans="2:6" x14ac:dyDescent="0.3">
      <c r="B10" s="27" t="s">
        <v>23</v>
      </c>
      <c r="C10" s="100" t="s">
        <v>31</v>
      </c>
      <c r="D10" s="100"/>
      <c r="E10" s="101"/>
    </row>
    <row r="11" spans="2:6" x14ac:dyDescent="0.3">
      <c r="B11" s="27" t="s">
        <v>22</v>
      </c>
      <c r="C11" s="100" t="s">
        <v>26</v>
      </c>
      <c r="D11" s="100"/>
      <c r="E11" s="101"/>
    </row>
    <row r="12" spans="2:6" x14ac:dyDescent="0.3">
      <c r="B12" s="27" t="s">
        <v>38</v>
      </c>
      <c r="C12" s="100" t="s">
        <v>39</v>
      </c>
      <c r="D12" s="100"/>
      <c r="E12" s="101"/>
    </row>
    <row r="13" spans="2:6" x14ac:dyDescent="0.3">
      <c r="B13" s="27" t="s">
        <v>21</v>
      </c>
      <c r="C13" s="100" t="s">
        <v>28</v>
      </c>
      <c r="D13" s="100"/>
      <c r="E13" s="101"/>
    </row>
    <row r="14" spans="2:6" ht="16.100000000000001" thickBot="1" x14ac:dyDescent="0.35">
      <c r="B14" s="28" t="s">
        <v>20</v>
      </c>
      <c r="C14" s="104" t="s">
        <v>29</v>
      </c>
      <c r="D14" s="104"/>
      <c r="E14" s="105"/>
    </row>
    <row r="15" spans="2:6" ht="16.100000000000001" thickBot="1" x14ac:dyDescent="0.35"/>
    <row r="16" spans="2:6" ht="16.100000000000001" thickBot="1" x14ac:dyDescent="0.35">
      <c r="B16" s="98" t="s">
        <v>19</v>
      </c>
      <c r="C16" s="99"/>
      <c r="D16" s="30"/>
      <c r="E16" s="98" t="s">
        <v>37</v>
      </c>
      <c r="F16" s="99"/>
    </row>
    <row r="17" spans="1:6" x14ac:dyDescent="0.3">
      <c r="B17" s="24" t="s">
        <v>24</v>
      </c>
      <c r="C17" s="5">
        <f>C6-C4</f>
        <v>42000</v>
      </c>
      <c r="D17" s="4"/>
      <c r="E17" s="24" t="s">
        <v>33</v>
      </c>
      <c r="F17" s="5">
        <v>15000</v>
      </c>
    </row>
    <row r="18" spans="1:6" x14ac:dyDescent="0.3">
      <c r="B18" s="24" t="s">
        <v>23</v>
      </c>
      <c r="C18" s="5">
        <f>C17-C5</f>
        <v>12000</v>
      </c>
      <c r="D18" s="4"/>
      <c r="E18" s="24" t="s">
        <v>34</v>
      </c>
      <c r="F18" s="5">
        <v>30000</v>
      </c>
    </row>
    <row r="19" spans="1:6" x14ac:dyDescent="0.3">
      <c r="B19" s="24" t="s">
        <v>35</v>
      </c>
      <c r="C19" s="5">
        <f>C4/C3</f>
        <v>7.5</v>
      </c>
      <c r="D19" s="4"/>
      <c r="E19" s="24" t="s">
        <v>20</v>
      </c>
      <c r="F19" s="5">
        <v>7.5</v>
      </c>
    </row>
    <row r="20" spans="1:6" x14ac:dyDescent="0.3">
      <c r="B20" s="24" t="s">
        <v>21</v>
      </c>
      <c r="C20" s="5">
        <f>C6/C3</f>
        <v>11</v>
      </c>
      <c r="D20" s="4"/>
      <c r="E20" s="22"/>
      <c r="F20" s="5"/>
    </row>
    <row r="21" spans="1:6" x14ac:dyDescent="0.3">
      <c r="B21" s="22"/>
      <c r="C21" s="5"/>
      <c r="D21" s="4"/>
      <c r="E21" s="102" t="s">
        <v>40</v>
      </c>
      <c r="F21" s="103"/>
    </row>
    <row r="22" spans="1:6" ht="16.100000000000001" thickBot="1" x14ac:dyDescent="0.35">
      <c r="B22" s="102" t="s">
        <v>40</v>
      </c>
      <c r="C22" s="103"/>
      <c r="D22" s="4"/>
      <c r="E22" s="25" t="s">
        <v>21</v>
      </c>
      <c r="F22" s="31">
        <f>F18/F17+F19</f>
        <v>9.5</v>
      </c>
    </row>
    <row r="23" spans="1:6" ht="16.100000000000001" thickBot="1" x14ac:dyDescent="0.35">
      <c r="B23" s="25" t="s">
        <v>32</v>
      </c>
      <c r="C23" s="31">
        <f>C5/(C20-C19)</f>
        <v>8571.4285714285706</v>
      </c>
      <c r="D23" s="4"/>
    </row>
    <row r="24" spans="1:6" ht="16.100000000000001" thickBot="1" x14ac:dyDescent="0.35">
      <c r="A24" s="21" t="s">
        <v>36</v>
      </c>
      <c r="D24" s="4"/>
      <c r="E24" s="98" t="s">
        <v>42</v>
      </c>
      <c r="F24" s="99"/>
    </row>
    <row r="25" spans="1:6" ht="16.100000000000001" thickBot="1" x14ac:dyDescent="0.35">
      <c r="B25" s="98" t="s">
        <v>41</v>
      </c>
      <c r="C25" s="99"/>
      <c r="D25" s="4"/>
      <c r="E25" s="23" t="s">
        <v>21</v>
      </c>
      <c r="F25" s="11">
        <v>9.35</v>
      </c>
    </row>
    <row r="26" spans="1:6" x14ac:dyDescent="0.3">
      <c r="B26" s="23" t="s">
        <v>21</v>
      </c>
      <c r="C26" s="11">
        <f>11000*0.85/1000</f>
        <v>9.35</v>
      </c>
      <c r="D26" s="4"/>
      <c r="E26" s="24" t="s">
        <v>20</v>
      </c>
      <c r="F26" s="5">
        <v>7.5</v>
      </c>
    </row>
    <row r="27" spans="1:6" x14ac:dyDescent="0.3">
      <c r="B27" s="24" t="s">
        <v>20</v>
      </c>
      <c r="C27" s="5">
        <v>7.5</v>
      </c>
      <c r="D27" s="4"/>
      <c r="E27" s="24" t="s">
        <v>34</v>
      </c>
      <c r="F27" s="5">
        <v>30000</v>
      </c>
    </row>
    <row r="28" spans="1:6" x14ac:dyDescent="0.3">
      <c r="B28" s="24" t="s">
        <v>34</v>
      </c>
      <c r="C28" s="5">
        <v>30000</v>
      </c>
      <c r="D28" s="4"/>
      <c r="E28" s="24" t="s">
        <v>23</v>
      </c>
      <c r="F28" s="5">
        <v>12000</v>
      </c>
    </row>
    <row r="29" spans="1:6" x14ac:dyDescent="0.3">
      <c r="B29" s="22"/>
      <c r="C29" s="5"/>
      <c r="D29" s="4"/>
      <c r="E29" s="22"/>
      <c r="F29" s="5"/>
    </row>
    <row r="30" spans="1:6" x14ac:dyDescent="0.3">
      <c r="B30" s="102" t="s">
        <v>40</v>
      </c>
      <c r="C30" s="103"/>
      <c r="E30" s="102" t="s">
        <v>43</v>
      </c>
      <c r="F30" s="103"/>
    </row>
    <row r="31" spans="1:6" ht="16.100000000000001" thickBot="1" x14ac:dyDescent="0.35">
      <c r="B31" s="25" t="s">
        <v>33</v>
      </c>
      <c r="C31" s="31">
        <f>C28/(C26-C27)</f>
        <v>16216.216216216219</v>
      </c>
      <c r="E31" s="25" t="s">
        <v>33</v>
      </c>
      <c r="F31" s="31">
        <f>(F28+F27)/(F25-F26)</f>
        <v>22702.702702702707</v>
      </c>
    </row>
  </sheetData>
  <mergeCells count="16">
    <mergeCell ref="B25:C25"/>
    <mergeCell ref="B30:C30"/>
    <mergeCell ref="E30:F30"/>
    <mergeCell ref="E24:F24"/>
    <mergeCell ref="B22:C22"/>
    <mergeCell ref="B16:C16"/>
    <mergeCell ref="C12:E12"/>
    <mergeCell ref="E21:F21"/>
    <mergeCell ref="E16:F16"/>
    <mergeCell ref="B2:C2"/>
    <mergeCell ref="C14:E14"/>
    <mergeCell ref="C11:E11"/>
    <mergeCell ref="C13:E13"/>
    <mergeCell ref="C10:E10"/>
    <mergeCell ref="C9:E9"/>
    <mergeCell ref="C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3E54-21C7-4DD9-BE56-70258CFCA18E}">
  <dimension ref="A1:I48"/>
  <sheetViews>
    <sheetView workbookViewId="0"/>
  </sheetViews>
  <sheetFormatPr defaultColWidth="9" defaultRowHeight="15.55" x14ac:dyDescent="0.3"/>
  <cols>
    <col min="1" max="1" width="2.90625" style="21" customWidth="1"/>
    <col min="2" max="2" width="23" style="21" bestFit="1" customWidth="1"/>
    <col min="3" max="3" width="11.36328125" style="21" bestFit="1" customWidth="1"/>
    <col min="4" max="4" width="5.6328125" style="21" customWidth="1"/>
    <col min="5" max="5" width="18.36328125" style="21" customWidth="1"/>
    <col min="6" max="6" width="10.36328125" style="21" bestFit="1" customWidth="1"/>
    <col min="7" max="7" width="4.7265625" style="21" customWidth="1"/>
    <col min="8" max="8" width="14.08984375" style="21" bestFit="1" customWidth="1"/>
    <col min="9" max="9" width="13.26953125" style="21" customWidth="1"/>
    <col min="10" max="16384" width="9" style="21"/>
  </cols>
  <sheetData>
    <row r="1" spans="2:9" ht="16.100000000000001" thickBot="1" x14ac:dyDescent="0.35"/>
    <row r="2" spans="2:9" ht="16.100000000000001" thickBot="1" x14ac:dyDescent="0.35">
      <c r="B2" s="98" t="s">
        <v>18</v>
      </c>
      <c r="C2" s="99"/>
    </row>
    <row r="3" spans="2:9" x14ac:dyDescent="0.3">
      <c r="B3" s="27" t="s">
        <v>33</v>
      </c>
      <c r="C3" s="5">
        <v>22000</v>
      </c>
    </row>
    <row r="4" spans="2:9" x14ac:dyDescent="0.3">
      <c r="B4" s="27" t="s">
        <v>22</v>
      </c>
      <c r="C4" s="5">
        <v>27500</v>
      </c>
    </row>
    <row r="5" spans="2:9" x14ac:dyDescent="0.3">
      <c r="B5" s="27" t="s">
        <v>34</v>
      </c>
      <c r="C5" s="5">
        <v>8250</v>
      </c>
    </row>
    <row r="6" spans="2:9" ht="16.100000000000001" thickBot="1" x14ac:dyDescent="0.35">
      <c r="B6" s="28" t="s">
        <v>25</v>
      </c>
      <c r="C6" s="6">
        <v>44000</v>
      </c>
    </row>
    <row r="7" spans="2:9" ht="16.100000000000001" thickBot="1" x14ac:dyDescent="0.35"/>
    <row r="8" spans="2:9" x14ac:dyDescent="0.3">
      <c r="B8" s="26" t="s">
        <v>25</v>
      </c>
      <c r="C8" s="106" t="s">
        <v>27</v>
      </c>
      <c r="D8" s="106"/>
      <c r="E8" s="107"/>
    </row>
    <row r="9" spans="2:9" x14ac:dyDescent="0.3">
      <c r="B9" s="27" t="s">
        <v>24</v>
      </c>
      <c r="C9" s="100" t="s">
        <v>30</v>
      </c>
      <c r="D9" s="100"/>
      <c r="E9" s="101"/>
    </row>
    <row r="10" spans="2:9" x14ac:dyDescent="0.3">
      <c r="B10" s="27" t="s">
        <v>23</v>
      </c>
      <c r="C10" s="100" t="s">
        <v>31</v>
      </c>
      <c r="D10" s="100"/>
      <c r="E10" s="101"/>
    </row>
    <row r="11" spans="2:9" x14ac:dyDescent="0.3">
      <c r="B11" s="27" t="s">
        <v>22</v>
      </c>
      <c r="C11" s="100" t="s">
        <v>26</v>
      </c>
      <c r="D11" s="100"/>
      <c r="E11" s="101"/>
    </row>
    <row r="12" spans="2:9" x14ac:dyDescent="0.3">
      <c r="B12" s="27" t="s">
        <v>47</v>
      </c>
      <c r="C12" s="100" t="s">
        <v>136</v>
      </c>
      <c r="D12" s="100"/>
      <c r="E12" s="101"/>
    </row>
    <row r="13" spans="2:9" x14ac:dyDescent="0.3">
      <c r="B13" s="27" t="s">
        <v>21</v>
      </c>
      <c r="C13" s="100" t="s">
        <v>28</v>
      </c>
      <c r="D13" s="100"/>
      <c r="E13" s="101"/>
    </row>
    <row r="14" spans="2:9" ht="16.100000000000001" thickBot="1" x14ac:dyDescent="0.35">
      <c r="B14" s="28" t="s">
        <v>20</v>
      </c>
      <c r="C14" s="104" t="s">
        <v>29</v>
      </c>
      <c r="D14" s="104"/>
      <c r="E14" s="105"/>
    </row>
    <row r="15" spans="2:9" ht="16.100000000000001" thickBot="1" x14ac:dyDescent="0.35">
      <c r="H15" s="98" t="s">
        <v>41</v>
      </c>
      <c r="I15" s="99"/>
    </row>
    <row r="16" spans="2:9" ht="16.100000000000001" thickBot="1" x14ac:dyDescent="0.35">
      <c r="B16" s="98" t="s">
        <v>19</v>
      </c>
      <c r="C16" s="99"/>
      <c r="D16" s="30"/>
      <c r="E16" s="98" t="s">
        <v>37</v>
      </c>
      <c r="F16" s="99"/>
      <c r="H16" s="23" t="s">
        <v>49</v>
      </c>
      <c r="I16" s="11">
        <v>30000</v>
      </c>
    </row>
    <row r="17" spans="2:9" x14ac:dyDescent="0.3">
      <c r="B17" s="40" t="s">
        <v>25</v>
      </c>
      <c r="C17" s="41">
        <f>C6</f>
        <v>44000</v>
      </c>
      <c r="D17" s="30"/>
      <c r="E17" s="40" t="s">
        <v>23</v>
      </c>
      <c r="F17" s="41">
        <v>12000</v>
      </c>
      <c r="H17" s="24" t="s">
        <v>34</v>
      </c>
      <c r="I17" s="5">
        <f>C5</f>
        <v>8250</v>
      </c>
    </row>
    <row r="18" spans="2:9" x14ac:dyDescent="0.3">
      <c r="B18" s="38" t="s">
        <v>22</v>
      </c>
      <c r="C18" s="37">
        <f>C4</f>
        <v>27500</v>
      </c>
      <c r="D18" s="30"/>
      <c r="E18" s="38" t="s">
        <v>21</v>
      </c>
      <c r="F18" s="37">
        <v>2</v>
      </c>
      <c r="H18" s="24" t="s">
        <v>20</v>
      </c>
      <c r="I18" s="5">
        <v>1.25</v>
      </c>
    </row>
    <row r="19" spans="2:9" x14ac:dyDescent="0.3">
      <c r="B19" s="38" t="s">
        <v>33</v>
      </c>
      <c r="C19" s="37">
        <f>C3</f>
        <v>22000</v>
      </c>
      <c r="D19" s="30"/>
      <c r="E19" s="38" t="s">
        <v>20</v>
      </c>
      <c r="F19" s="37">
        <v>1.25</v>
      </c>
      <c r="H19" s="24" t="s">
        <v>23</v>
      </c>
      <c r="I19" s="5">
        <v>12000</v>
      </c>
    </row>
    <row r="20" spans="2:9" x14ac:dyDescent="0.3">
      <c r="B20" s="38" t="s">
        <v>21</v>
      </c>
      <c r="C20" s="37">
        <f>C17/C19</f>
        <v>2</v>
      </c>
      <c r="D20" s="30"/>
      <c r="E20" s="38" t="s">
        <v>34</v>
      </c>
      <c r="F20" s="37">
        <v>8250</v>
      </c>
      <c r="H20" s="24" t="s">
        <v>50</v>
      </c>
      <c r="I20" s="43">
        <f>F18*0.85</f>
        <v>1.7</v>
      </c>
    </row>
    <row r="21" spans="2:9" x14ac:dyDescent="0.3">
      <c r="B21" s="38" t="s">
        <v>20</v>
      </c>
      <c r="C21" s="37">
        <f>C18/C19</f>
        <v>1.25</v>
      </c>
      <c r="D21" s="30"/>
      <c r="E21" s="36"/>
      <c r="F21" s="37"/>
      <c r="H21" s="24" t="s">
        <v>21</v>
      </c>
      <c r="I21" s="43">
        <v>2</v>
      </c>
    </row>
    <row r="22" spans="2:9" x14ac:dyDescent="0.3">
      <c r="B22" s="38" t="s">
        <v>34</v>
      </c>
      <c r="C22" s="37">
        <f>C5</f>
        <v>8250</v>
      </c>
      <c r="D22" s="30"/>
      <c r="E22" s="108" t="s">
        <v>48</v>
      </c>
      <c r="F22" s="109"/>
      <c r="H22" s="42"/>
      <c r="I22" s="43"/>
    </row>
    <row r="23" spans="2:9" ht="16.100000000000001" thickBot="1" x14ac:dyDescent="0.35">
      <c r="B23" s="36"/>
      <c r="C23" s="37"/>
      <c r="D23" s="30"/>
      <c r="E23" s="46" t="s">
        <v>33</v>
      </c>
      <c r="F23" s="45">
        <f>(F17+F20)/(F18-F19)</f>
        <v>27000</v>
      </c>
      <c r="H23" s="102" t="s">
        <v>56</v>
      </c>
      <c r="I23" s="103"/>
    </row>
    <row r="24" spans="2:9" x14ac:dyDescent="0.3">
      <c r="B24" s="24" t="s">
        <v>24</v>
      </c>
      <c r="C24" s="29">
        <f>C6-C4</f>
        <v>16500</v>
      </c>
      <c r="D24" s="4"/>
      <c r="E24" s="32"/>
      <c r="F24" s="4"/>
      <c r="H24" s="24" t="s">
        <v>51</v>
      </c>
      <c r="I24" s="43">
        <f>(I19+I17)/I16+I18</f>
        <v>1.925</v>
      </c>
    </row>
    <row r="25" spans="2:9" x14ac:dyDescent="0.3">
      <c r="B25" s="24" t="s">
        <v>46</v>
      </c>
      <c r="C25" s="39">
        <f>C24/C6</f>
        <v>0.375</v>
      </c>
      <c r="D25" s="4"/>
      <c r="H25" s="102" t="s">
        <v>52</v>
      </c>
      <c r="I25" s="103"/>
    </row>
    <row r="26" spans="2:9" x14ac:dyDescent="0.3">
      <c r="B26" s="24" t="s">
        <v>45</v>
      </c>
      <c r="C26" s="29">
        <f>C22/(C20-C21)</f>
        <v>11000</v>
      </c>
      <c r="D26" s="4"/>
      <c r="H26" s="24" t="s">
        <v>53</v>
      </c>
      <c r="I26" s="47">
        <f>(I24-I21)/I21</f>
        <v>-3.7499999999999978E-2</v>
      </c>
    </row>
    <row r="27" spans="2:9" ht="16.100000000000001" thickBot="1" x14ac:dyDescent="0.35">
      <c r="B27" s="25" t="s">
        <v>44</v>
      </c>
      <c r="C27" s="31">
        <f>C22/C19+C21</f>
        <v>1.625</v>
      </c>
      <c r="D27" s="4"/>
      <c r="H27" s="42"/>
      <c r="I27" s="43"/>
    </row>
    <row r="28" spans="2:9" x14ac:dyDescent="0.3">
      <c r="B28" s="34"/>
      <c r="C28" s="34"/>
      <c r="D28" s="4"/>
      <c r="H28" s="102" t="s">
        <v>55</v>
      </c>
      <c r="I28" s="103"/>
    </row>
    <row r="29" spans="2:9" ht="16.100000000000001" thickBot="1" x14ac:dyDescent="0.35">
      <c r="B29" s="30"/>
      <c r="C29" s="30"/>
      <c r="D29" s="4"/>
      <c r="H29" s="25" t="s">
        <v>54</v>
      </c>
      <c r="I29" s="48">
        <f>(I19+I17)/(I20-I18)</f>
        <v>45000.000000000007</v>
      </c>
    </row>
    <row r="30" spans="2:9" x14ac:dyDescent="0.3">
      <c r="B30" s="33"/>
      <c r="C30" s="35"/>
      <c r="D30" s="4"/>
    </row>
    <row r="31" spans="2:9" x14ac:dyDescent="0.3">
      <c r="B31" s="33"/>
      <c r="C31" s="35"/>
      <c r="D31" s="4"/>
    </row>
    <row r="32" spans="2:9" x14ac:dyDescent="0.3">
      <c r="B32" s="33"/>
      <c r="C32" s="35"/>
      <c r="D32" s="4"/>
    </row>
    <row r="33" spans="1:6" x14ac:dyDescent="0.3">
      <c r="B33" s="33"/>
      <c r="C33" s="35"/>
      <c r="D33" s="4"/>
    </row>
    <row r="34" spans="1:6" x14ac:dyDescent="0.3">
      <c r="B34" s="33"/>
      <c r="C34" s="35"/>
      <c r="D34" s="4"/>
    </row>
    <row r="35" spans="1:6" x14ac:dyDescent="0.3">
      <c r="B35" s="33"/>
      <c r="C35" s="35"/>
      <c r="D35" s="4"/>
    </row>
    <row r="36" spans="1:6" x14ac:dyDescent="0.3">
      <c r="B36" s="33"/>
      <c r="C36" s="35"/>
      <c r="D36" s="4"/>
    </row>
    <row r="37" spans="1:6" x14ac:dyDescent="0.3">
      <c r="B37" s="33"/>
      <c r="C37" s="35"/>
      <c r="D37" s="4"/>
    </row>
    <row r="38" spans="1:6" x14ac:dyDescent="0.3">
      <c r="B38" s="33"/>
      <c r="C38" s="35"/>
      <c r="D38" s="4"/>
    </row>
    <row r="39" spans="1:6" x14ac:dyDescent="0.3">
      <c r="B39" s="33"/>
      <c r="C39" s="35"/>
      <c r="D39" s="4"/>
    </row>
    <row r="40" spans="1:6" x14ac:dyDescent="0.3">
      <c r="B40" s="33"/>
      <c r="C40" s="35"/>
      <c r="D40" s="4"/>
      <c r="E40" s="44"/>
      <c r="F40" s="44"/>
    </row>
    <row r="41" spans="1:6" x14ac:dyDescent="0.3">
      <c r="A41" s="21" t="s">
        <v>36</v>
      </c>
      <c r="D41" s="4"/>
      <c r="E41" s="32"/>
      <c r="F41" s="35"/>
    </row>
    <row r="42" spans="1:6" x14ac:dyDescent="0.3">
      <c r="D42" s="4"/>
      <c r="E42" s="33"/>
      <c r="F42" s="34"/>
    </row>
    <row r="43" spans="1:6" x14ac:dyDescent="0.3">
      <c r="D43" s="4"/>
      <c r="E43" s="33"/>
      <c r="F43" s="34"/>
    </row>
    <row r="44" spans="1:6" x14ac:dyDescent="0.3">
      <c r="D44" s="4"/>
      <c r="E44" s="33"/>
      <c r="F44" s="34"/>
    </row>
    <row r="45" spans="1:6" x14ac:dyDescent="0.3">
      <c r="D45" s="4"/>
      <c r="E45" s="33"/>
      <c r="F45" s="34"/>
    </row>
    <row r="46" spans="1:6" x14ac:dyDescent="0.3">
      <c r="D46" s="4"/>
      <c r="E46" s="34"/>
      <c r="F46" s="34"/>
    </row>
    <row r="47" spans="1:6" x14ac:dyDescent="0.3">
      <c r="E47" s="30"/>
      <c r="F47" s="30"/>
    </row>
    <row r="48" spans="1:6" x14ac:dyDescent="0.3">
      <c r="E48" s="33"/>
      <c r="F48" s="35"/>
    </row>
  </sheetData>
  <mergeCells count="15">
    <mergeCell ref="H28:I28"/>
    <mergeCell ref="H15:I15"/>
    <mergeCell ref="E22:F22"/>
    <mergeCell ref="H23:I23"/>
    <mergeCell ref="H25:I25"/>
    <mergeCell ref="C13:E13"/>
    <mergeCell ref="C14:E14"/>
    <mergeCell ref="B16:C16"/>
    <mergeCell ref="E16:F16"/>
    <mergeCell ref="B2:C2"/>
    <mergeCell ref="C8:E8"/>
    <mergeCell ref="C9:E9"/>
    <mergeCell ref="C10:E10"/>
    <mergeCell ref="C11:E11"/>
    <mergeCell ref="C12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9E28-C22A-46B2-A46B-7930202E65A5}">
  <dimension ref="B1:K78"/>
  <sheetViews>
    <sheetView tabSelected="1" topLeftCell="A12" zoomScale="85" zoomScaleNormal="85" workbookViewId="0">
      <selection activeCell="C20" sqref="C20:D20"/>
    </sheetView>
  </sheetViews>
  <sheetFormatPr defaultColWidth="9" defaultRowHeight="15.55" x14ac:dyDescent="0.3"/>
  <cols>
    <col min="1" max="1" width="3.08984375" style="64" customWidth="1"/>
    <col min="2" max="2" width="37.36328125" style="64" customWidth="1"/>
    <col min="3" max="3" width="17.36328125" style="64" customWidth="1"/>
    <col min="4" max="4" width="3.90625" style="64" bestFit="1" customWidth="1"/>
    <col min="5" max="5" width="31.90625" style="64" customWidth="1"/>
    <col min="6" max="6" width="4.08984375" style="64" bestFit="1" customWidth="1"/>
    <col min="7" max="7" width="16.7265625" style="64" customWidth="1"/>
    <col min="8" max="8" width="3.90625" style="64" bestFit="1" customWidth="1"/>
    <col min="9" max="9" width="14.26953125" style="64" customWidth="1"/>
    <col min="10" max="16384" width="9" style="64"/>
  </cols>
  <sheetData>
    <row r="1" spans="2:9" ht="16.100000000000001" thickBot="1" x14ac:dyDescent="0.35"/>
    <row r="2" spans="2:9" ht="16.100000000000001" thickBot="1" x14ac:dyDescent="0.35">
      <c r="B2" s="70" t="s">
        <v>0</v>
      </c>
      <c r="C2" s="131" t="s">
        <v>80</v>
      </c>
      <c r="D2" s="119"/>
      <c r="E2" s="131" t="s">
        <v>15</v>
      </c>
      <c r="F2" s="119"/>
      <c r="G2" s="131" t="s">
        <v>79</v>
      </c>
      <c r="H2" s="119"/>
    </row>
    <row r="3" spans="2:9" x14ac:dyDescent="0.3">
      <c r="B3" s="67" t="s">
        <v>81</v>
      </c>
      <c r="C3" s="67">
        <v>10000</v>
      </c>
      <c r="D3" s="68"/>
      <c r="E3" s="67">
        <v>8000</v>
      </c>
      <c r="F3" s="68"/>
      <c r="G3" s="67">
        <v>15000</v>
      </c>
      <c r="H3" s="68"/>
    </row>
    <row r="4" spans="2:9" x14ac:dyDescent="0.3">
      <c r="B4" s="67" t="s">
        <v>77</v>
      </c>
      <c r="C4" s="67">
        <v>3</v>
      </c>
      <c r="D4" s="68"/>
      <c r="E4" s="67">
        <v>4</v>
      </c>
      <c r="F4" s="68"/>
      <c r="G4" s="67">
        <v>5</v>
      </c>
      <c r="H4" s="68"/>
    </row>
    <row r="5" spans="2:9" x14ac:dyDescent="0.3">
      <c r="B5" s="67" t="s">
        <v>78</v>
      </c>
      <c r="C5" s="67">
        <v>400</v>
      </c>
      <c r="D5" s="68"/>
      <c r="E5" s="67">
        <v>300</v>
      </c>
      <c r="F5" s="68"/>
      <c r="G5" s="67">
        <v>600</v>
      </c>
      <c r="H5" s="68"/>
    </row>
    <row r="6" spans="2:9" x14ac:dyDescent="0.3">
      <c r="B6" s="71" t="s">
        <v>86</v>
      </c>
      <c r="C6" s="132"/>
      <c r="D6" s="120"/>
      <c r="E6" s="132"/>
      <c r="F6" s="120"/>
      <c r="G6" s="132"/>
      <c r="H6" s="120"/>
    </row>
    <row r="7" spans="2:9" x14ac:dyDescent="0.3">
      <c r="B7" s="67" t="s">
        <v>85</v>
      </c>
      <c r="C7" s="67">
        <v>1000</v>
      </c>
      <c r="D7" s="68"/>
      <c r="E7" s="67">
        <v>500</v>
      </c>
      <c r="F7" s="68"/>
      <c r="G7" s="67">
        <v>1500</v>
      </c>
      <c r="H7" s="68"/>
    </row>
    <row r="8" spans="2:9" x14ac:dyDescent="0.3">
      <c r="B8" s="67" t="s">
        <v>82</v>
      </c>
      <c r="C8" s="67">
        <v>1000</v>
      </c>
      <c r="D8" s="68"/>
      <c r="E8" s="67">
        <v>1000</v>
      </c>
      <c r="F8" s="68"/>
      <c r="G8" s="67">
        <v>4500</v>
      </c>
      <c r="H8" s="68"/>
    </row>
    <row r="9" spans="2:9" x14ac:dyDescent="0.3">
      <c r="B9" s="67" t="s">
        <v>83</v>
      </c>
      <c r="C9" s="67">
        <v>500</v>
      </c>
      <c r="D9" s="72">
        <v>1.2</v>
      </c>
      <c r="E9" s="67">
        <v>300</v>
      </c>
      <c r="F9" s="72">
        <v>1.4</v>
      </c>
      <c r="G9" s="67">
        <v>1000</v>
      </c>
      <c r="H9" s="72">
        <v>1.5</v>
      </c>
    </row>
    <row r="10" spans="2:9" ht="16.100000000000001" thickBot="1" x14ac:dyDescent="0.35">
      <c r="B10" s="20" t="s">
        <v>84</v>
      </c>
      <c r="C10" s="20">
        <v>500</v>
      </c>
      <c r="D10" s="73">
        <v>0.8</v>
      </c>
      <c r="E10" s="20">
        <v>200</v>
      </c>
      <c r="F10" s="73">
        <v>0.9</v>
      </c>
      <c r="G10" s="20">
        <v>1000</v>
      </c>
      <c r="H10" s="73">
        <v>0.5</v>
      </c>
    </row>
    <row r="11" spans="2:9" ht="16.100000000000001" thickBot="1" x14ac:dyDescent="0.35"/>
    <row r="12" spans="2:9" ht="16.100000000000001" thickBot="1" x14ac:dyDescent="0.35">
      <c r="B12" s="74"/>
      <c r="C12" s="118" t="s">
        <v>80</v>
      </c>
      <c r="D12" s="118"/>
      <c r="E12" s="118" t="s">
        <v>15</v>
      </c>
      <c r="F12" s="118"/>
      <c r="G12" s="118" t="s">
        <v>79</v>
      </c>
      <c r="H12" s="118"/>
      <c r="I12" s="65" t="s">
        <v>88</v>
      </c>
    </row>
    <row r="13" spans="2:9" x14ac:dyDescent="0.3">
      <c r="B13" s="75" t="s">
        <v>87</v>
      </c>
      <c r="C13" s="135">
        <f>C5*C3/1000</f>
        <v>4000</v>
      </c>
      <c r="D13" s="135"/>
      <c r="E13" s="135">
        <f t="shared" ref="E13:G13" si="0">E5*E3/1000</f>
        <v>2400</v>
      </c>
      <c r="F13" s="135"/>
      <c r="G13" s="135">
        <f t="shared" si="0"/>
        <v>9000</v>
      </c>
      <c r="H13" s="135"/>
      <c r="I13" s="75">
        <f>SUM(C13:G13)</f>
        <v>15400</v>
      </c>
    </row>
    <row r="14" spans="2:9" x14ac:dyDescent="0.3">
      <c r="B14" s="75"/>
      <c r="C14" s="135"/>
      <c r="D14" s="135"/>
      <c r="E14" s="135"/>
      <c r="F14" s="135"/>
      <c r="G14" s="135"/>
      <c r="H14" s="135"/>
      <c r="I14" s="75"/>
    </row>
    <row r="15" spans="2:9" x14ac:dyDescent="0.3">
      <c r="B15" s="75" t="s">
        <v>91</v>
      </c>
      <c r="C15" s="138">
        <v>0</v>
      </c>
      <c r="D15" s="138"/>
      <c r="E15" s="138">
        <v>0</v>
      </c>
      <c r="F15" s="138"/>
      <c r="G15" s="138">
        <v>0</v>
      </c>
      <c r="H15" s="138"/>
      <c r="I15" s="75"/>
    </row>
    <row r="16" spans="2:9" x14ac:dyDescent="0.3">
      <c r="B16" s="75" t="s">
        <v>98</v>
      </c>
      <c r="C16" s="135">
        <f>C8</f>
        <v>1000</v>
      </c>
      <c r="D16" s="135"/>
      <c r="E16" s="135">
        <f>E8</f>
        <v>1000</v>
      </c>
      <c r="F16" s="135"/>
      <c r="G16" s="135">
        <f>G8</f>
        <v>4500</v>
      </c>
      <c r="H16" s="135"/>
      <c r="I16" s="75"/>
    </row>
    <row r="17" spans="2:9" x14ac:dyDescent="0.3">
      <c r="B17" s="75" t="s">
        <v>90</v>
      </c>
      <c r="C17" s="135">
        <f>C9*D9</f>
        <v>600</v>
      </c>
      <c r="D17" s="135"/>
      <c r="E17" s="135">
        <f>E9*F9</f>
        <v>420</v>
      </c>
      <c r="F17" s="135"/>
      <c r="G17" s="135">
        <f>G9*H9</f>
        <v>1500</v>
      </c>
      <c r="H17" s="135"/>
      <c r="I17" s="75"/>
    </row>
    <row r="18" spans="2:9" x14ac:dyDescent="0.3">
      <c r="B18" s="75" t="s">
        <v>89</v>
      </c>
      <c r="C18" s="135">
        <f>C10*D10</f>
        <v>400</v>
      </c>
      <c r="D18" s="135"/>
      <c r="E18" s="135">
        <f>E10*F10</f>
        <v>180</v>
      </c>
      <c r="F18" s="135"/>
      <c r="G18" s="135">
        <f>G10*H10</f>
        <v>500</v>
      </c>
      <c r="H18" s="135"/>
      <c r="I18" s="75"/>
    </row>
    <row r="19" spans="2:9" x14ac:dyDescent="0.3">
      <c r="B19" s="75"/>
      <c r="C19" s="135"/>
      <c r="D19" s="135"/>
      <c r="E19" s="135"/>
      <c r="F19" s="135"/>
      <c r="G19" s="135"/>
      <c r="H19" s="135"/>
      <c r="I19" s="75"/>
    </row>
    <row r="20" spans="2:9" ht="31.05" x14ac:dyDescent="0.3">
      <c r="B20" s="76" t="s">
        <v>92</v>
      </c>
      <c r="C20" s="137">
        <f>SUM(C15:C18)/SUM(C7:C10)</f>
        <v>0.66666666666666663</v>
      </c>
      <c r="D20" s="137"/>
      <c r="E20" s="137">
        <f t="shared" ref="E20:G20" si="1">SUM(E15:E18)/SUM(E7:E10)</f>
        <v>0.8</v>
      </c>
      <c r="F20" s="137"/>
      <c r="G20" s="137">
        <f t="shared" si="1"/>
        <v>0.8125</v>
      </c>
      <c r="H20" s="137"/>
      <c r="I20" s="75"/>
    </row>
    <row r="21" spans="2:9" ht="78.8" customHeight="1" x14ac:dyDescent="0.3">
      <c r="B21" s="76" t="s">
        <v>96</v>
      </c>
      <c r="C21" s="136" t="s">
        <v>93</v>
      </c>
      <c r="D21" s="136"/>
      <c r="E21" s="136" t="s">
        <v>94</v>
      </c>
      <c r="F21" s="136"/>
      <c r="G21" s="136" t="s">
        <v>95</v>
      </c>
      <c r="H21" s="136"/>
      <c r="I21" s="76"/>
    </row>
    <row r="22" spans="2:9" x14ac:dyDescent="0.3">
      <c r="B22" s="75" t="s">
        <v>139</v>
      </c>
      <c r="C22" s="135">
        <f>SUM(C7:C10)</f>
        <v>3000</v>
      </c>
      <c r="D22" s="135"/>
      <c r="E22" s="135">
        <f>SUM(E7:E10)</f>
        <v>2000</v>
      </c>
      <c r="F22" s="135"/>
      <c r="G22" s="135">
        <f>SUM(G7:G10)</f>
        <v>8000</v>
      </c>
      <c r="H22" s="135"/>
      <c r="I22" s="75"/>
    </row>
    <row r="23" spans="2:9" x14ac:dyDescent="0.3">
      <c r="B23" s="75" t="s">
        <v>137</v>
      </c>
      <c r="C23" s="134">
        <f>1-C20</f>
        <v>0.33333333333333337</v>
      </c>
      <c r="D23" s="134"/>
      <c r="E23" s="134">
        <f>1-E20</f>
        <v>0.19999999999999996</v>
      </c>
      <c r="F23" s="134"/>
      <c r="G23" s="134">
        <f>1-G20</f>
        <v>0.1875</v>
      </c>
      <c r="H23" s="134"/>
      <c r="I23" s="75"/>
    </row>
    <row r="24" spans="2:9" ht="16.100000000000001" thickBot="1" x14ac:dyDescent="0.35">
      <c r="B24" s="77" t="s">
        <v>138</v>
      </c>
      <c r="C24" s="133">
        <f>C22*C23</f>
        <v>1000.0000000000001</v>
      </c>
      <c r="D24" s="133"/>
      <c r="E24" s="133">
        <f t="shared" ref="E24:G24" si="2">E22*E23</f>
        <v>399.99999999999989</v>
      </c>
      <c r="F24" s="133"/>
      <c r="G24" s="133">
        <f t="shared" si="2"/>
        <v>1500</v>
      </c>
      <c r="H24" s="133"/>
      <c r="I24" s="77"/>
    </row>
    <row r="25" spans="2:9" ht="16.100000000000001" thickBot="1" x14ac:dyDescent="0.35"/>
    <row r="26" spans="2:9" ht="16.100000000000001" thickBot="1" x14ac:dyDescent="0.35">
      <c r="B26" s="78"/>
      <c r="C26" s="131" t="s">
        <v>80</v>
      </c>
      <c r="D26" s="118"/>
      <c r="E26" s="118" t="s">
        <v>15</v>
      </c>
      <c r="F26" s="118"/>
      <c r="G26" s="118" t="s">
        <v>79</v>
      </c>
      <c r="H26" s="118"/>
      <c r="I26" s="65" t="s">
        <v>88</v>
      </c>
    </row>
    <row r="27" spans="2:9" x14ac:dyDescent="0.3">
      <c r="B27" s="66" t="s">
        <v>99</v>
      </c>
      <c r="C27" s="142">
        <f>SUM(C16:D18)</f>
        <v>2000</v>
      </c>
      <c r="D27" s="140"/>
      <c r="E27" s="140">
        <f t="shared" ref="E27:G27" si="3">SUM(E16:F18)</f>
        <v>1600</v>
      </c>
      <c r="F27" s="140"/>
      <c r="G27" s="140">
        <f t="shared" si="3"/>
        <v>6500</v>
      </c>
      <c r="H27" s="140"/>
      <c r="I27" s="66">
        <f>SUM(C27:G27)</f>
        <v>10100</v>
      </c>
    </row>
    <row r="28" spans="2:9" x14ac:dyDescent="0.3">
      <c r="B28" s="66" t="s">
        <v>97</v>
      </c>
      <c r="C28" s="132">
        <f>C13-C27</f>
        <v>2000</v>
      </c>
      <c r="D28" s="114"/>
      <c r="E28" s="114">
        <f t="shared" ref="E28:G28" si="4">E13-E27</f>
        <v>800</v>
      </c>
      <c r="F28" s="114"/>
      <c r="G28" s="114">
        <f t="shared" si="4"/>
        <v>2500</v>
      </c>
      <c r="H28" s="114"/>
      <c r="I28" s="66">
        <f>SUM(C28:G28)</f>
        <v>5300</v>
      </c>
    </row>
    <row r="29" spans="2:9" x14ac:dyDescent="0.3">
      <c r="B29" s="66" t="s">
        <v>17</v>
      </c>
      <c r="C29" s="132">
        <f>C24</f>
        <v>1000.0000000000001</v>
      </c>
      <c r="D29" s="114"/>
      <c r="E29" s="114">
        <f t="shared" ref="E29:G29" si="5">E24</f>
        <v>399.99999999999989</v>
      </c>
      <c r="F29" s="114"/>
      <c r="G29" s="114">
        <f t="shared" si="5"/>
        <v>1500</v>
      </c>
      <c r="H29" s="114"/>
      <c r="I29" s="66">
        <f>SUM(C29:G29)</f>
        <v>2900</v>
      </c>
    </row>
    <row r="30" spans="2:9" ht="16.100000000000001" thickBot="1" x14ac:dyDescent="0.35">
      <c r="B30" s="69" t="s">
        <v>100</v>
      </c>
      <c r="C30" s="141">
        <f>C28-C29</f>
        <v>999.99999999999989</v>
      </c>
      <c r="D30" s="139"/>
      <c r="E30" s="139">
        <f t="shared" ref="E30:G30" si="6">E28-E29</f>
        <v>400.00000000000011</v>
      </c>
      <c r="F30" s="139"/>
      <c r="G30" s="139">
        <f t="shared" si="6"/>
        <v>1000</v>
      </c>
      <c r="H30" s="139"/>
      <c r="I30" s="69">
        <f>SUM(C30:G30)</f>
        <v>2400</v>
      </c>
    </row>
    <row r="31" spans="2:9" ht="16.100000000000001" thickBot="1" x14ac:dyDescent="0.35"/>
    <row r="32" spans="2:9" x14ac:dyDescent="0.3">
      <c r="B32" s="79" t="s">
        <v>101</v>
      </c>
    </row>
    <row r="33" spans="2:11" ht="16.100000000000001" thickBot="1" x14ac:dyDescent="0.35">
      <c r="B33" s="80">
        <f>I30/I13</f>
        <v>0.15584415584415584</v>
      </c>
    </row>
    <row r="34" spans="2:11" ht="16.100000000000001" thickBot="1" x14ac:dyDescent="0.35"/>
    <row r="35" spans="2:11" ht="16.100000000000001" thickBot="1" x14ac:dyDescent="0.35">
      <c r="B35" s="146" t="s">
        <v>19</v>
      </c>
      <c r="C35" s="147"/>
      <c r="E35" s="110" t="s">
        <v>37</v>
      </c>
      <c r="F35" s="111"/>
      <c r="G35" s="111"/>
      <c r="H35" s="111"/>
      <c r="I35" s="112"/>
      <c r="J35" s="86"/>
    </row>
    <row r="36" spans="2:11" x14ac:dyDescent="0.3">
      <c r="B36" s="148" t="s">
        <v>102</v>
      </c>
      <c r="C36" s="149"/>
      <c r="E36" s="87"/>
      <c r="F36" s="129" t="s">
        <v>120</v>
      </c>
      <c r="G36" s="129"/>
      <c r="H36" s="129" t="s">
        <v>121</v>
      </c>
      <c r="I36" s="130"/>
      <c r="J36" s="85"/>
    </row>
    <row r="37" spans="2:11" x14ac:dyDescent="0.3">
      <c r="B37" s="102" t="s">
        <v>115</v>
      </c>
      <c r="C37" s="103"/>
      <c r="E37" s="81" t="s">
        <v>22</v>
      </c>
      <c r="F37" s="114">
        <f>E27*1.25</f>
        <v>2000</v>
      </c>
      <c r="G37" s="114"/>
      <c r="H37" s="114">
        <f>E27*1.5</f>
        <v>2400</v>
      </c>
      <c r="I37" s="120"/>
    </row>
    <row r="38" spans="2:11" x14ac:dyDescent="0.3">
      <c r="B38" s="81" t="s">
        <v>25</v>
      </c>
      <c r="C38" s="68">
        <f>(I27+I29)/0.75</f>
        <v>17333.333333333332</v>
      </c>
      <c r="E38" s="81" t="s">
        <v>123</v>
      </c>
      <c r="F38" s="114">
        <f>E3*0.25</f>
        <v>2000</v>
      </c>
      <c r="G38" s="114"/>
      <c r="H38" s="114">
        <f>E3*0.5</f>
        <v>4000</v>
      </c>
      <c r="I38" s="120"/>
    </row>
    <row r="39" spans="2:11" x14ac:dyDescent="0.3">
      <c r="B39" s="81" t="s">
        <v>23</v>
      </c>
      <c r="C39" s="68">
        <f>C38-I27-I29</f>
        <v>4333.3333333333321</v>
      </c>
      <c r="E39" s="81" t="s">
        <v>34</v>
      </c>
      <c r="F39" s="114">
        <f>$E$29</f>
        <v>399.99999999999989</v>
      </c>
      <c r="G39" s="114"/>
      <c r="H39" s="114">
        <f>$E$30+50</f>
        <v>450.00000000000011</v>
      </c>
      <c r="I39" s="120"/>
    </row>
    <row r="40" spans="2:11" x14ac:dyDescent="0.3">
      <c r="B40" s="67"/>
      <c r="C40" s="68"/>
      <c r="E40" s="81" t="s">
        <v>122</v>
      </c>
      <c r="F40" s="113">
        <v>0.2</v>
      </c>
      <c r="G40" s="113"/>
      <c r="H40" s="113">
        <v>0.2</v>
      </c>
      <c r="I40" s="103"/>
    </row>
    <row r="41" spans="2:11" x14ac:dyDescent="0.3">
      <c r="B41" s="67" t="s">
        <v>104</v>
      </c>
      <c r="C41" s="17">
        <f>(C38-I13)/I13</f>
        <v>0.12554112554112545</v>
      </c>
      <c r="E41" s="81"/>
      <c r="F41" s="114"/>
      <c r="G41" s="114"/>
      <c r="H41" s="114"/>
      <c r="I41" s="120"/>
    </row>
    <row r="42" spans="2:11" ht="31.05" x14ac:dyDescent="0.3">
      <c r="B42" s="67" t="s">
        <v>103</v>
      </c>
      <c r="C42" s="68"/>
      <c r="E42" s="88" t="s">
        <v>124</v>
      </c>
      <c r="F42" s="126">
        <f>0.3*1000</f>
        <v>300</v>
      </c>
      <c r="G42" s="126"/>
      <c r="H42" s="126">
        <f>0.290625*1000</f>
        <v>290.625</v>
      </c>
      <c r="I42" s="127"/>
    </row>
    <row r="43" spans="2:11" ht="31.05" x14ac:dyDescent="0.3">
      <c r="B43" s="82" t="s">
        <v>105</v>
      </c>
      <c r="C43" s="83">
        <f>ABS((C39-I30)/I30/C41/100)</f>
        <v>6.4166666666666664E-2</v>
      </c>
      <c r="E43" s="67"/>
      <c r="F43" s="125" t="s">
        <v>125</v>
      </c>
      <c r="G43" s="125"/>
      <c r="H43" s="125" t="s">
        <v>126</v>
      </c>
      <c r="I43" s="128"/>
    </row>
    <row r="44" spans="2:11" ht="16.100000000000001" thickBot="1" x14ac:dyDescent="0.35">
      <c r="B44" s="67"/>
      <c r="C44" s="68"/>
      <c r="E44" s="89"/>
      <c r="F44" s="122"/>
      <c r="G44" s="122"/>
      <c r="H44" s="123">
        <f>(H42-300)/300</f>
        <v>-3.125E-2</v>
      </c>
      <c r="I44" s="124"/>
    </row>
    <row r="45" spans="2:11" ht="16.100000000000001" thickBot="1" x14ac:dyDescent="0.35">
      <c r="B45" s="67"/>
      <c r="C45" s="68"/>
    </row>
    <row r="46" spans="2:11" ht="16.100000000000001" thickBot="1" x14ac:dyDescent="0.35">
      <c r="B46" s="143" t="s">
        <v>106</v>
      </c>
      <c r="C46" s="130"/>
      <c r="E46" s="110" t="s">
        <v>41</v>
      </c>
      <c r="F46" s="111"/>
      <c r="G46" s="111"/>
      <c r="H46" s="111"/>
      <c r="I46" s="111"/>
      <c r="J46" s="111"/>
      <c r="K46" s="112"/>
    </row>
    <row r="47" spans="2:11" ht="16.100000000000001" thickBot="1" x14ac:dyDescent="0.35">
      <c r="B47" s="102" t="s">
        <v>114</v>
      </c>
      <c r="C47" s="103"/>
      <c r="E47" s="78"/>
      <c r="F47" s="118" t="s">
        <v>80</v>
      </c>
      <c r="G47" s="118"/>
      <c r="H47" s="118" t="s">
        <v>15</v>
      </c>
      <c r="I47" s="118"/>
      <c r="J47" s="118" t="s">
        <v>79</v>
      </c>
      <c r="K47" s="119"/>
    </row>
    <row r="48" spans="2:11" x14ac:dyDescent="0.3">
      <c r="B48" s="81" t="s">
        <v>22</v>
      </c>
      <c r="C48" s="68">
        <f>(0.25*I13+I29-I13)*(-1)</f>
        <v>8650</v>
      </c>
      <c r="E48" s="66" t="s">
        <v>127</v>
      </c>
      <c r="F48" s="117">
        <f>C30/C13</f>
        <v>0.24999999999999997</v>
      </c>
      <c r="G48" s="117"/>
      <c r="H48" s="117">
        <f t="shared" ref="H48" si="7">E30/E13</f>
        <v>0.16666666666666671</v>
      </c>
      <c r="I48" s="117"/>
      <c r="J48" s="117">
        <f t="shared" ref="J48" si="8">G30/G13</f>
        <v>0.1111111111111111</v>
      </c>
      <c r="K48" s="121"/>
    </row>
    <row r="49" spans="2:11" x14ac:dyDescent="0.3">
      <c r="B49" s="81" t="s">
        <v>23</v>
      </c>
      <c r="C49" s="68">
        <f>I13-C48-I29</f>
        <v>3850</v>
      </c>
      <c r="E49" s="66" t="s">
        <v>128</v>
      </c>
      <c r="F49" s="114"/>
      <c r="G49" s="114"/>
      <c r="H49" s="114"/>
      <c r="I49" s="114"/>
      <c r="J49" s="114">
        <f t="shared" ref="J49" si="9">G4*G3</f>
        <v>75000</v>
      </c>
      <c r="K49" s="120"/>
    </row>
    <row r="50" spans="2:11" x14ac:dyDescent="0.3">
      <c r="B50" s="67"/>
      <c r="C50" s="68"/>
      <c r="E50" s="66" t="s">
        <v>130</v>
      </c>
      <c r="F50" s="114">
        <f>$J$49/2</f>
        <v>37500</v>
      </c>
      <c r="G50" s="114"/>
      <c r="H50" s="114">
        <f>$J$49/2</f>
        <v>37500</v>
      </c>
      <c r="I50" s="114"/>
      <c r="J50" s="114"/>
      <c r="K50" s="120"/>
    </row>
    <row r="51" spans="2:11" x14ac:dyDescent="0.3">
      <c r="B51" s="67" t="s">
        <v>107</v>
      </c>
      <c r="C51" s="17">
        <f>(C48-I27)/I27</f>
        <v>-0.14356435643564355</v>
      </c>
      <c r="E51" s="66" t="s">
        <v>129</v>
      </c>
      <c r="F51" s="114">
        <f>F50/C4</f>
        <v>12500</v>
      </c>
      <c r="G51" s="114"/>
      <c r="H51" s="114">
        <f>H50/E4</f>
        <v>9375</v>
      </c>
      <c r="I51" s="114"/>
      <c r="J51" s="114"/>
      <c r="K51" s="120"/>
    </row>
    <row r="52" spans="2:11" x14ac:dyDescent="0.3">
      <c r="B52" s="67" t="s">
        <v>108</v>
      </c>
      <c r="C52" s="68"/>
      <c r="E52" s="66" t="s">
        <v>134</v>
      </c>
      <c r="F52" s="114"/>
      <c r="G52" s="114"/>
      <c r="H52" s="113">
        <v>1.08</v>
      </c>
      <c r="I52" s="113"/>
      <c r="J52" s="8"/>
      <c r="K52" s="68"/>
    </row>
    <row r="53" spans="2:11" ht="31.05" x14ac:dyDescent="0.3">
      <c r="B53" s="82" t="s">
        <v>105</v>
      </c>
      <c r="C53" s="83">
        <f>ABS((C49-I30)/I30/C51/100)</f>
        <v>4.2083333333333334E-2</v>
      </c>
      <c r="E53" s="91" t="s">
        <v>33</v>
      </c>
      <c r="F53" s="113">
        <f>C3+F51</f>
        <v>22500</v>
      </c>
      <c r="G53" s="113"/>
      <c r="H53" s="113">
        <f>E3+H51</f>
        <v>17375</v>
      </c>
      <c r="I53" s="113"/>
      <c r="J53" s="8"/>
      <c r="K53" s="68"/>
    </row>
    <row r="54" spans="2:11" x14ac:dyDescent="0.3">
      <c r="B54" s="67"/>
      <c r="C54" s="68"/>
      <c r="E54" s="91" t="s">
        <v>133</v>
      </c>
      <c r="F54" s="115">
        <f>F53/C3</f>
        <v>2.25</v>
      </c>
      <c r="G54" s="115"/>
      <c r="H54" s="115">
        <f>H53/E3</f>
        <v>2.171875</v>
      </c>
      <c r="I54" s="115"/>
      <c r="J54" s="8"/>
      <c r="K54" s="68"/>
    </row>
    <row r="55" spans="2:11" x14ac:dyDescent="0.3">
      <c r="B55" s="67"/>
      <c r="C55" s="68"/>
      <c r="E55" s="91" t="s">
        <v>25</v>
      </c>
      <c r="F55" s="113">
        <f>C13*F54</f>
        <v>9000</v>
      </c>
      <c r="G55" s="113"/>
      <c r="H55" s="113">
        <f>E13*H54*1.08</f>
        <v>5629.5</v>
      </c>
      <c r="I55" s="113"/>
      <c r="J55" s="8"/>
      <c r="K55" s="68"/>
    </row>
    <row r="56" spans="2:11" x14ac:dyDescent="0.3">
      <c r="B56" s="143" t="s">
        <v>109</v>
      </c>
      <c r="C56" s="130"/>
      <c r="E56" s="91" t="s">
        <v>22</v>
      </c>
      <c r="F56" s="113">
        <f>C27*F54</f>
        <v>4500</v>
      </c>
      <c r="G56" s="113"/>
      <c r="H56" s="113">
        <f>E27*H54</f>
        <v>3475</v>
      </c>
      <c r="I56" s="113"/>
      <c r="J56" s="8"/>
      <c r="K56" s="68"/>
    </row>
    <row r="57" spans="2:11" x14ac:dyDescent="0.3">
      <c r="B57" s="102" t="s">
        <v>110</v>
      </c>
      <c r="C57" s="103"/>
      <c r="E57" s="91" t="s">
        <v>135</v>
      </c>
      <c r="F57" s="113">
        <f>C29+$G$29/2</f>
        <v>1750</v>
      </c>
      <c r="G57" s="113"/>
      <c r="H57" s="113">
        <f>E29+$G$29/2</f>
        <v>1150</v>
      </c>
      <c r="I57" s="113"/>
      <c r="J57" s="8"/>
      <c r="K57" s="68"/>
    </row>
    <row r="58" spans="2:11" x14ac:dyDescent="0.3">
      <c r="B58" s="81" t="s">
        <v>34</v>
      </c>
      <c r="C58" s="68">
        <f>(0.25*15400+10100-15400)*(-1)</f>
        <v>1450</v>
      </c>
      <c r="E58" s="91" t="s">
        <v>24</v>
      </c>
      <c r="F58" s="113">
        <f>F55-F56</f>
        <v>4500</v>
      </c>
      <c r="G58" s="113"/>
      <c r="H58" s="113">
        <f>H55-H56</f>
        <v>2154.5</v>
      </c>
      <c r="I58" s="113"/>
      <c r="J58" s="8"/>
      <c r="K58" s="68"/>
    </row>
    <row r="59" spans="2:11" x14ac:dyDescent="0.3">
      <c r="B59" s="81" t="s">
        <v>23</v>
      </c>
      <c r="C59" s="68">
        <f>15400-10100-C58</f>
        <v>3850</v>
      </c>
      <c r="E59" s="91" t="s">
        <v>23</v>
      </c>
      <c r="F59" s="113">
        <f>F55-F56-F57</f>
        <v>2750</v>
      </c>
      <c r="G59" s="113"/>
      <c r="H59" s="113">
        <f>H55-H56-H57</f>
        <v>1004.5</v>
      </c>
      <c r="I59" s="113"/>
      <c r="J59" s="8"/>
      <c r="K59" s="68"/>
    </row>
    <row r="60" spans="2:11" x14ac:dyDescent="0.3">
      <c r="B60" s="67"/>
      <c r="C60" s="68"/>
      <c r="E60" s="91" t="s">
        <v>131</v>
      </c>
      <c r="F60" s="117">
        <f>F59/F55</f>
        <v>0.30555555555555558</v>
      </c>
      <c r="G60" s="117"/>
      <c r="H60" s="117">
        <f>H59/H55</f>
        <v>0.1784350297539746</v>
      </c>
      <c r="I60" s="117"/>
      <c r="J60" s="8"/>
      <c r="K60" s="68"/>
    </row>
    <row r="61" spans="2:11" x14ac:dyDescent="0.3">
      <c r="B61" s="67" t="s">
        <v>111</v>
      </c>
      <c r="C61" s="17">
        <f>(C58-I29)/I29</f>
        <v>-0.5</v>
      </c>
      <c r="E61" s="91"/>
      <c r="F61" s="113"/>
      <c r="G61" s="113"/>
      <c r="H61" s="113"/>
      <c r="I61" s="113"/>
      <c r="J61" s="8"/>
      <c r="K61" s="68"/>
    </row>
    <row r="62" spans="2:11" ht="16.100000000000001" thickBot="1" x14ac:dyDescent="0.35">
      <c r="B62" s="67" t="s">
        <v>112</v>
      </c>
      <c r="C62" s="68"/>
      <c r="E62" s="92" t="s">
        <v>132</v>
      </c>
      <c r="F62" s="116">
        <f>(F59+H59)/(F55+H55)</f>
        <v>0.25663898287706349</v>
      </c>
      <c r="G62" s="116"/>
      <c r="H62" s="116"/>
      <c r="I62" s="116"/>
      <c r="J62" s="9"/>
      <c r="K62" s="90"/>
    </row>
    <row r="63" spans="2:11" ht="31.05" x14ac:dyDescent="0.3">
      <c r="B63" s="82" t="s">
        <v>105</v>
      </c>
      <c r="C63" s="83">
        <f>ABS((C59-I30)/I30/C61/100)</f>
        <v>1.2083333333333333E-2</v>
      </c>
    </row>
    <row r="64" spans="2:11" x14ac:dyDescent="0.3">
      <c r="B64" s="67"/>
      <c r="C64" s="68"/>
    </row>
    <row r="65" spans="2:3" x14ac:dyDescent="0.3">
      <c r="B65" s="67"/>
      <c r="C65" s="68"/>
    </row>
    <row r="66" spans="2:3" x14ac:dyDescent="0.3">
      <c r="B66" s="143" t="s">
        <v>113</v>
      </c>
      <c r="C66" s="130"/>
    </row>
    <row r="67" spans="2:3" x14ac:dyDescent="0.3">
      <c r="B67" s="102" t="s">
        <v>116</v>
      </c>
      <c r="C67" s="103"/>
    </row>
    <row r="68" spans="2:3" x14ac:dyDescent="0.3">
      <c r="B68" s="81" t="s">
        <v>117</v>
      </c>
      <c r="C68" s="84">
        <f>I29/(-(0.25*15400)+15400-10100)</f>
        <v>2</v>
      </c>
    </row>
    <row r="69" spans="2:3" x14ac:dyDescent="0.3">
      <c r="B69" s="81" t="s">
        <v>25</v>
      </c>
      <c r="C69" s="5">
        <f>15400*C68</f>
        <v>30800</v>
      </c>
    </row>
    <row r="70" spans="2:3" x14ac:dyDescent="0.3">
      <c r="B70" s="81" t="s">
        <v>22</v>
      </c>
      <c r="C70" s="5">
        <f>10100*C68</f>
        <v>20200</v>
      </c>
    </row>
    <row r="71" spans="2:3" x14ac:dyDescent="0.3">
      <c r="B71" s="81" t="s">
        <v>23</v>
      </c>
      <c r="C71" s="68">
        <f>C69-C70-I29</f>
        <v>7700</v>
      </c>
    </row>
    <row r="72" spans="2:3" x14ac:dyDescent="0.3">
      <c r="B72" s="67"/>
      <c r="C72" s="68"/>
    </row>
    <row r="73" spans="2:3" x14ac:dyDescent="0.3">
      <c r="B73" s="67" t="s">
        <v>104</v>
      </c>
      <c r="C73" s="17">
        <f>(C69-15400)/15400</f>
        <v>1</v>
      </c>
    </row>
    <row r="74" spans="2:3" x14ac:dyDescent="0.3">
      <c r="B74" s="67" t="s">
        <v>118</v>
      </c>
      <c r="C74" s="68"/>
    </row>
    <row r="75" spans="2:3" ht="31.05" x14ac:dyDescent="0.3">
      <c r="B75" s="82" t="s">
        <v>105</v>
      </c>
      <c r="C75" s="83">
        <f>ABS((C71-I30)/I30/C73/100)</f>
        <v>2.2083333333333333E-2</v>
      </c>
    </row>
    <row r="76" spans="2:3" x14ac:dyDescent="0.3">
      <c r="B76" s="82"/>
      <c r="C76" s="83"/>
    </row>
    <row r="77" spans="2:3" x14ac:dyDescent="0.3">
      <c r="B77" s="67"/>
      <c r="C77" s="68"/>
    </row>
    <row r="78" spans="2:3" ht="31.6" customHeight="1" thickBot="1" x14ac:dyDescent="0.35">
      <c r="B78" s="144" t="s">
        <v>119</v>
      </c>
      <c r="C78" s="145"/>
    </row>
  </sheetData>
  <mergeCells count="126">
    <mergeCell ref="B57:C57"/>
    <mergeCell ref="B66:C66"/>
    <mergeCell ref="B67:C67"/>
    <mergeCell ref="B78:C78"/>
    <mergeCell ref="B35:C35"/>
    <mergeCell ref="B36:C36"/>
    <mergeCell ref="B37:C37"/>
    <mergeCell ref="B46:C46"/>
    <mergeCell ref="B47:C47"/>
    <mergeCell ref="B56:C56"/>
    <mergeCell ref="C26:D26"/>
    <mergeCell ref="C13:D13"/>
    <mergeCell ref="G30:H30"/>
    <mergeCell ref="G29:H29"/>
    <mergeCell ref="G28:H28"/>
    <mergeCell ref="G27:H27"/>
    <mergeCell ref="G26:H26"/>
    <mergeCell ref="E26:F26"/>
    <mergeCell ref="E30:F30"/>
    <mergeCell ref="E29:F29"/>
    <mergeCell ref="E28:F28"/>
    <mergeCell ref="C19:D19"/>
    <mergeCell ref="C18:D18"/>
    <mergeCell ref="C17:D17"/>
    <mergeCell ref="C16:D16"/>
    <mergeCell ref="C15:D15"/>
    <mergeCell ref="E27:F27"/>
    <mergeCell ref="C30:D30"/>
    <mergeCell ref="C29:D29"/>
    <mergeCell ref="C28:D28"/>
    <mergeCell ref="C27:D27"/>
    <mergeCell ref="C14:D14"/>
    <mergeCell ref="E24:F24"/>
    <mergeCell ref="C24:D24"/>
    <mergeCell ref="C23:D23"/>
    <mergeCell ref="C22:D22"/>
    <mergeCell ref="C21:D21"/>
    <mergeCell ref="C20:D20"/>
    <mergeCell ref="E18:F18"/>
    <mergeCell ref="E19:F19"/>
    <mergeCell ref="E20:F20"/>
    <mergeCell ref="E21:F21"/>
    <mergeCell ref="E22:F22"/>
    <mergeCell ref="E23:F23"/>
    <mergeCell ref="G24:H24"/>
    <mergeCell ref="G23:H23"/>
    <mergeCell ref="G22:H22"/>
    <mergeCell ref="G21:H21"/>
    <mergeCell ref="G20:H20"/>
    <mergeCell ref="G19:H19"/>
    <mergeCell ref="G18:H18"/>
    <mergeCell ref="E13:F13"/>
    <mergeCell ref="E14:F14"/>
    <mergeCell ref="E15:F15"/>
    <mergeCell ref="E16:F16"/>
    <mergeCell ref="E17:F17"/>
    <mergeCell ref="G17:H17"/>
    <mergeCell ref="G16:H16"/>
    <mergeCell ref="G15:H15"/>
    <mergeCell ref="G14:H14"/>
    <mergeCell ref="G13:H13"/>
    <mergeCell ref="G2:H2"/>
    <mergeCell ref="E2:F2"/>
    <mergeCell ref="C2:D2"/>
    <mergeCell ref="E6:F6"/>
    <mergeCell ref="C6:D6"/>
    <mergeCell ref="G6:H6"/>
    <mergeCell ref="G12:H12"/>
    <mergeCell ref="E12:F12"/>
    <mergeCell ref="C12:D12"/>
    <mergeCell ref="F44:G44"/>
    <mergeCell ref="H44:I44"/>
    <mergeCell ref="E35:I35"/>
    <mergeCell ref="F43:G43"/>
    <mergeCell ref="H42:I42"/>
    <mergeCell ref="H43:I43"/>
    <mergeCell ref="H41:I41"/>
    <mergeCell ref="F41:G41"/>
    <mergeCell ref="F42:G42"/>
    <mergeCell ref="H40:I40"/>
    <mergeCell ref="H38:I38"/>
    <mergeCell ref="F38:G38"/>
    <mergeCell ref="F40:G40"/>
    <mergeCell ref="F36:G36"/>
    <mergeCell ref="H39:I39"/>
    <mergeCell ref="H37:I37"/>
    <mergeCell ref="F39:G39"/>
    <mergeCell ref="F37:G37"/>
    <mergeCell ref="H36:I36"/>
    <mergeCell ref="F47:G47"/>
    <mergeCell ref="J51:K51"/>
    <mergeCell ref="J50:K50"/>
    <mergeCell ref="J49:K49"/>
    <mergeCell ref="J48:K48"/>
    <mergeCell ref="H51:I51"/>
    <mergeCell ref="H50:I50"/>
    <mergeCell ref="H49:I49"/>
    <mergeCell ref="H48:I48"/>
    <mergeCell ref="F51:G51"/>
    <mergeCell ref="F50:G50"/>
    <mergeCell ref="F49:G49"/>
    <mergeCell ref="F48:G48"/>
    <mergeCell ref="E46:K46"/>
    <mergeCell ref="H52:I52"/>
    <mergeCell ref="F52:G52"/>
    <mergeCell ref="H57:I57"/>
    <mergeCell ref="H56:I56"/>
    <mergeCell ref="H54:I54"/>
    <mergeCell ref="F54:G54"/>
    <mergeCell ref="F62:I62"/>
    <mergeCell ref="F57:G57"/>
    <mergeCell ref="F56:G56"/>
    <mergeCell ref="F55:G55"/>
    <mergeCell ref="F53:G53"/>
    <mergeCell ref="H59:I59"/>
    <mergeCell ref="H58:I58"/>
    <mergeCell ref="H60:I60"/>
    <mergeCell ref="H61:I61"/>
    <mergeCell ref="F61:G61"/>
    <mergeCell ref="F60:G60"/>
    <mergeCell ref="F59:G59"/>
    <mergeCell ref="F58:G58"/>
    <mergeCell ref="H53:I53"/>
    <mergeCell ref="H55:I55"/>
    <mergeCell ref="J47:K47"/>
    <mergeCell ref="H47:I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1. Feladat</vt:lpstr>
      <vt:lpstr>2. Feladat</vt:lpstr>
      <vt:lpstr>3. Feladat</vt:lpstr>
      <vt:lpstr>4. Feladat</vt:lpstr>
      <vt:lpstr>5. Feladat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Czibulka</dc:creator>
  <cp:lastModifiedBy>Lizadora@sulid.hu</cp:lastModifiedBy>
  <dcterms:created xsi:type="dcterms:W3CDTF">2024-12-07T11:21:39Z</dcterms:created>
  <dcterms:modified xsi:type="dcterms:W3CDTF">2024-12-09T10:42:10Z</dcterms:modified>
</cp:coreProperties>
</file>