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zl\Desktop\5. félév\kontrolling\"/>
    </mc:Choice>
  </mc:AlternateContent>
  <xr:revisionPtr revIDLastSave="0" documentId="13_ncr:1_{74418294-0504-4E5E-A7F9-8BB308A45101}" xr6:coauthVersionLast="47" xr6:coauthVersionMax="47" xr10:uidLastSave="{00000000-0000-0000-0000-000000000000}"/>
  <bookViews>
    <workbookView xWindow="-108" yWindow="-108" windowWidth="23256" windowHeight="12576" xr2:uid="{1CEA06C1-E3A0-4068-8E30-1AB52766CA0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/>
  <c r="G9" i="1"/>
  <c r="G2" i="1"/>
  <c r="G3" i="1"/>
  <c r="G4" i="1"/>
  <c r="G5" i="1"/>
  <c r="G6" i="1"/>
  <c r="G7" i="1"/>
  <c r="G8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9" i="1"/>
  <c r="D3" i="1"/>
  <c r="D4" i="1"/>
  <c r="D5" i="1"/>
  <c r="D6" i="1"/>
  <c r="D7" i="1"/>
  <c r="D8" i="1"/>
  <c r="D2" i="1"/>
  <c r="C9" i="1"/>
  <c r="B9" i="1"/>
</calcChain>
</file>

<file path=xl/sharedStrings.xml><?xml version="1.0" encoding="utf-8"?>
<sst xmlns="http://schemas.openxmlformats.org/spreadsheetml/2006/main" count="15" uniqueCount="15">
  <si>
    <t>Megnevezés</t>
  </si>
  <si>
    <t>Anyagköltség</t>
  </si>
  <si>
    <t>Igénybevett szolgáltatás értéke</t>
  </si>
  <si>
    <t>Egyéb szolgáltatás értéke</t>
  </si>
  <si>
    <t>Bérköltség</t>
  </si>
  <si>
    <t>Személyi jellegű egyéb kifizetések</t>
  </si>
  <si>
    <t>Bérjárulékok</t>
  </si>
  <si>
    <t>Értékcsökkenési leírás</t>
  </si>
  <si>
    <t>KÖLTSÉGNEMEK ÖSSZESEN</t>
  </si>
  <si>
    <t>Bázisidőszak</t>
  </si>
  <si>
    <t>Tárgyidőszak</t>
  </si>
  <si>
    <t>abszolút eltérések</t>
  </si>
  <si>
    <t>dinamikus viszonyszám</t>
  </si>
  <si>
    <t>megoszlási viszonyszám bázis</t>
  </si>
  <si>
    <t>megoszlási viszonyszám tárgy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</si>
</sst>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32E8-7FB8-4012-B109-F905F7F2A1A6}">
  <dimension ref="A1:G9"/>
  <sheetViews>
    <sheetView tabSelected="1" workbookViewId="0">
      <selection activeCell="I9" sqref="I9"/>
    </sheetView>
  </sheetViews>
  <sheetFormatPr defaultRowHeight="14.4" x14ac:dyDescent="0.3"/>
  <cols>
    <col min="1" max="1" width="27.77734375" bestFit="1" customWidth="1"/>
    <col min="4" max="4" width="15.5546875" bestFit="1" customWidth="1"/>
    <col min="5" max="5" width="19.664062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1</v>
      </c>
      <c r="B2">
        <v>2440</v>
      </c>
      <c r="C2">
        <v>2700</v>
      </c>
      <c r="D2" s="1">
        <f>ABS(B2-C2)</f>
        <v>260</v>
      </c>
      <c r="E2" s="1">
        <f>C2/B2</f>
        <v>1.1065573770491803</v>
      </c>
      <c r="F2" s="1">
        <f>B2/B$9</f>
        <v>0.29075309818875117</v>
      </c>
      <c r="G2" s="1">
        <f>C2/C$9</f>
        <v>0.28535193405199749</v>
      </c>
    </row>
    <row r="3" spans="1:7" x14ac:dyDescent="0.3">
      <c r="A3" t="s">
        <v>2</v>
      </c>
      <c r="B3">
        <v>1320</v>
      </c>
      <c r="C3">
        <v>1540</v>
      </c>
      <c r="D3" s="1">
        <f t="shared" ref="D3:D8" si="0">ABS(B3-C3)</f>
        <v>220</v>
      </c>
      <c r="E3" s="1">
        <f t="shared" ref="E3:E8" si="1">C3/B3</f>
        <v>1.1666666666666667</v>
      </c>
      <c r="F3" s="1">
        <f t="shared" ref="F3:G8" si="2">B3/B$9</f>
        <v>0.1572926596758818</v>
      </c>
      <c r="G3" s="1">
        <f t="shared" si="2"/>
        <v>0.16275628831113931</v>
      </c>
    </row>
    <row r="4" spans="1:7" x14ac:dyDescent="0.3">
      <c r="A4" t="s">
        <v>3</v>
      </c>
      <c r="B4">
        <v>232</v>
      </c>
      <c r="C4">
        <v>250</v>
      </c>
      <c r="D4" s="1">
        <f t="shared" si="0"/>
        <v>18</v>
      </c>
      <c r="E4" s="1">
        <f t="shared" si="1"/>
        <v>1.0775862068965518</v>
      </c>
      <c r="F4" s="1">
        <f t="shared" si="2"/>
        <v>2.7645376549094377E-2</v>
      </c>
      <c r="G4" s="1">
        <f t="shared" si="2"/>
        <v>2.6421475375184949E-2</v>
      </c>
    </row>
    <row r="5" spans="1:7" x14ac:dyDescent="0.3">
      <c r="A5" t="s">
        <v>4</v>
      </c>
      <c r="B5">
        <v>1980</v>
      </c>
      <c r="C5">
        <v>2420</v>
      </c>
      <c r="D5" s="1">
        <f t="shared" si="0"/>
        <v>440</v>
      </c>
      <c r="E5" s="1">
        <f t="shared" si="1"/>
        <v>1.2222222222222223</v>
      </c>
      <c r="F5" s="1">
        <f t="shared" si="2"/>
        <v>0.23593898951382269</v>
      </c>
      <c r="G5" s="1">
        <f t="shared" si="2"/>
        <v>0.25575988163179031</v>
      </c>
    </row>
    <row r="6" spans="1:7" x14ac:dyDescent="0.3">
      <c r="A6" t="s">
        <v>5</v>
      </c>
      <c r="B6">
        <v>1100</v>
      </c>
      <c r="C6">
        <v>1120</v>
      </c>
      <c r="D6" s="1">
        <f t="shared" si="0"/>
        <v>20</v>
      </c>
      <c r="E6" s="1">
        <f t="shared" si="1"/>
        <v>1.0181818181818181</v>
      </c>
      <c r="F6" s="1">
        <f t="shared" si="2"/>
        <v>0.13107721639656816</v>
      </c>
      <c r="G6" s="1">
        <f t="shared" si="2"/>
        <v>0.11836820968082858</v>
      </c>
    </row>
    <row r="7" spans="1:7" x14ac:dyDescent="0.3">
      <c r="A7" t="s">
        <v>6</v>
      </c>
      <c r="B7">
        <v>820</v>
      </c>
      <c r="C7">
        <v>992</v>
      </c>
      <c r="D7" s="1">
        <f t="shared" si="0"/>
        <v>172</v>
      </c>
      <c r="E7" s="1">
        <f t="shared" si="1"/>
        <v>1.2097560975609756</v>
      </c>
      <c r="F7" s="1">
        <f t="shared" si="2"/>
        <v>9.7712106768350807E-2</v>
      </c>
      <c r="G7" s="1">
        <f t="shared" si="2"/>
        <v>0.10484041428873388</v>
      </c>
    </row>
    <row r="8" spans="1:7" x14ac:dyDescent="0.3">
      <c r="A8" t="s">
        <v>7</v>
      </c>
      <c r="B8">
        <v>500</v>
      </c>
      <c r="C8">
        <v>440</v>
      </c>
      <c r="D8" s="1">
        <f t="shared" si="0"/>
        <v>60</v>
      </c>
      <c r="E8" s="1">
        <f t="shared" si="1"/>
        <v>0.88</v>
      </c>
      <c r="F8" s="1">
        <f t="shared" si="2"/>
        <v>5.9580552907530983E-2</v>
      </c>
      <c r="G8" s="1">
        <f t="shared" si="2"/>
        <v>4.6501796660325515E-2</v>
      </c>
    </row>
    <row r="9" spans="1:7" x14ac:dyDescent="0.3">
      <c r="A9" t="s">
        <v>8</v>
      </c>
      <c r="B9" s="1">
        <f>SUM(B2:B8)</f>
        <v>8392</v>
      </c>
      <c r="C9" s="1">
        <f>SUM(C2:C8)</f>
        <v>9462</v>
      </c>
      <c r="D9" s="1">
        <f>ABS(B9-C9)</f>
        <v>1070</v>
      </c>
      <c r="E9" s="1">
        <f>C9/B9</f>
        <v>1.1275023832221163</v>
      </c>
      <c r="F9" s="1">
        <f>B9/B$9</f>
        <v>1</v>
      </c>
      <c r="G9" s="1">
        <f>C9/C$9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Szemán László</dc:creator>
  <cp:lastModifiedBy>Szemán László</cp:lastModifiedBy>
  <dcterms:created xsi:type="dcterms:W3CDTF">2025-10-05T10:38:58Z</dcterms:created>
  <dcterms:modified xsi:type="dcterms:W3CDTF">2025-10-05T10:46:02Z</dcterms:modified>
</cp:coreProperties>
</file>